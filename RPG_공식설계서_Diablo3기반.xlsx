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1.캐릭터_기초스탯" sheetId="2" state="visible" r:id="rId4"/>
    <sheet name="2.캐릭터_파생스탯" sheetId="3" state="visible" r:id="rId5"/>
    <sheet name="3.데미지_파이프라인" sheetId="4" state="visible" r:id="rId6"/>
    <sheet name="4.캐릭터창_장비슬롯" sheetId="5" state="visible" r:id="rId7"/>
    <sheet name="5.인벤토리" sheetId="6" state="visible" r:id="rId8"/>
    <sheet name="6.아이템_등급" sheetId="7" state="visible" r:id="rId9"/>
    <sheet name="7.아이템_레벨_요구" sheetId="8" state="visible" r:id="rId10"/>
    <sheet name="8.아이템_접사" sheetId="9" state="visible" r:id="rId11"/>
    <sheet name="9.몬스터_기초스탯" sheetId="10" state="visible" r:id="rId12"/>
    <sheet name="10.몬스터_등급" sheetId="11" state="visible" r:id="rId13"/>
    <sheet name="11.몬스터_수식어" sheetId="12" state="visible" r:id="rId14"/>
    <sheet name="12.난이도" sheetId="13" state="visible" r:id="rId15"/>
    <sheet name="13.스킬_시스템개요" sheetId="14" state="visible" r:id="rId16"/>
    <sheet name="14.스킬_액티브목록" sheetId="15" state="visible" r:id="rId17"/>
    <sheet name="15.스킬_룬시스템" sheetId="16" state="visible" r:id="rId18"/>
    <sheet name="16.스킬_패시브" sheetId="17" state="visible" r:id="rId19"/>
    <sheet name="17.스킬트리_빌드" sheetId="18" state="visible" r:id="rId20"/>
    <sheet name="18.직업_밸런스개요" sheetId="19" state="visible" r:id="rId21"/>
    <sheet name="19.전사_스킬트리" sheetId="20" state="visible" r:id="rId22"/>
    <sheet name="20.궁수_스킬트리" sheetId="21" state="visible" r:id="rId23"/>
    <sheet name="21.마법사_스킬트리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<sst xmlns="http://schemas.openxmlformats.org/spreadsheetml/2006/main" count="2657" uniqueCount="1670">
  <si>
    <r>
      <rPr>
        <b val="true"/>
        <sz val="16"/>
        <color rgb="FFC8A24B"/>
        <rFont val="맑은 고딕"/>
        <family val="0"/>
        <charset val="1"/>
      </rPr>
      <t xml:space="preserve">RPG </t>
    </r>
    <r>
      <rPr>
        <b val="true"/>
        <sz val="16"/>
        <color rgb="FFC8A24B"/>
        <rFont val="Noto Sans CJK SC"/>
        <family val="2"/>
      </rPr>
      <t xml:space="preserve">게임 공식 설계서 — </t>
    </r>
    <r>
      <rPr>
        <b val="true"/>
        <sz val="16"/>
        <color rgb="FFC8A24B"/>
        <rFont val="맑은 고딕"/>
        <family val="0"/>
        <charset val="1"/>
      </rPr>
      <t xml:space="preserve">Diablo III </t>
    </r>
    <r>
      <rPr>
        <b val="true"/>
        <sz val="16"/>
        <color rgb="FFC8A24B"/>
        <rFont val="Noto Sans CJK SC"/>
        <family val="2"/>
      </rPr>
      <t xml:space="preserve">기반</t>
    </r>
  </si>
  <si>
    <r>
      <rPr>
        <i val="true"/>
        <sz val="9"/>
        <color rgb="FF6B5A40"/>
        <rFont val="맑은 고딕"/>
        <family val="0"/>
        <charset val="1"/>
      </rPr>
      <t xml:space="preserve">Three.js + TypeScript </t>
    </r>
    <r>
      <rPr>
        <i val="true"/>
        <sz val="9"/>
        <color rgb="FF6B5A40"/>
        <rFont val="Noto Sans CJK SC"/>
        <family val="2"/>
      </rPr>
      <t xml:space="preserve">액션 </t>
    </r>
    <r>
      <rPr>
        <i val="true"/>
        <sz val="9"/>
        <color rgb="FF6B5A40"/>
        <rFont val="맑은 고딕"/>
        <family val="0"/>
        <charset val="1"/>
      </rPr>
      <t xml:space="preserve">RPG / </t>
    </r>
    <r>
      <rPr>
        <i val="true"/>
        <sz val="9"/>
        <color rgb="FF6B5A40"/>
        <rFont val="Noto Sans CJK SC"/>
        <family val="2"/>
      </rPr>
      <t xml:space="preserve">캐릭터</t>
    </r>
    <r>
      <rPr>
        <i val="true"/>
        <sz val="9"/>
        <color rgb="FF6B5A40"/>
        <rFont val="맑은 고딕"/>
        <family val="0"/>
        <charset val="1"/>
      </rPr>
      <t xml:space="preserve">·</t>
    </r>
    <r>
      <rPr>
        <i val="true"/>
        <sz val="9"/>
        <color rgb="FF6B5A40"/>
        <rFont val="Noto Sans CJK SC"/>
        <family val="2"/>
      </rPr>
      <t xml:space="preserve">아이템</t>
    </r>
    <r>
      <rPr>
        <i val="true"/>
        <sz val="9"/>
        <color rgb="FF6B5A40"/>
        <rFont val="맑은 고딕"/>
        <family val="0"/>
        <charset val="1"/>
      </rPr>
      <t xml:space="preserve">·</t>
    </r>
    <r>
      <rPr>
        <i val="true"/>
        <sz val="9"/>
        <color rgb="FF6B5A40"/>
        <rFont val="Noto Sans CJK SC"/>
        <family val="2"/>
      </rPr>
      <t xml:space="preserve">몬스터 시스템 공식 정리</t>
    </r>
  </si>
  <si>
    <t xml:space="preserve">문서명</t>
  </si>
  <si>
    <r>
      <rPr>
        <sz val="10"/>
        <color rgb="FF000000"/>
        <rFont val="맑은 고딕"/>
        <family val="0"/>
        <charset val="1"/>
      </rPr>
      <t xml:space="preserve">RPG </t>
    </r>
    <r>
      <rPr>
        <sz val="10"/>
        <color rgb="FF000000"/>
        <rFont val="Noto Sans CJK SC"/>
        <family val="2"/>
      </rPr>
      <t xml:space="preserve">게임 공식 설계서 </t>
    </r>
    <r>
      <rPr>
        <sz val="10"/>
        <color rgb="FF000000"/>
        <rFont val="맑은 고딕"/>
        <family val="0"/>
        <charset val="1"/>
      </rPr>
      <t xml:space="preserve">(RPG Formula Design Sheet)</t>
    </r>
  </si>
  <si>
    <t xml:space="preserve">레퍼런스</t>
  </si>
  <si>
    <r>
      <rPr>
        <sz val="10"/>
        <color rgb="FF000000"/>
        <rFont val="맑은 고딕"/>
        <family val="0"/>
        <charset val="1"/>
      </rPr>
      <t xml:space="preserve">Diablo III (Blizzard) — </t>
    </r>
    <r>
      <rPr>
        <sz val="10"/>
        <color rgb="FF000000"/>
        <rFont val="Noto Sans CJK SC"/>
        <family val="2"/>
      </rPr>
      <t xml:space="preserve">스탯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데미지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등급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정예 수식어 체계</t>
    </r>
  </si>
  <si>
    <t xml:space="preserve">대상 엔진</t>
  </si>
  <si>
    <t xml:space="preserve">Three.js + TypeScript</t>
  </si>
  <si>
    <t xml:space="preserve">버전</t>
  </si>
  <si>
    <r>
      <rPr>
        <sz val="10"/>
        <color rgb="FF000000"/>
        <rFont val="맑은 고딕"/>
        <family val="0"/>
        <charset val="1"/>
      </rPr>
      <t xml:space="preserve">v3.0 (</t>
    </r>
    <r>
      <rPr>
        <sz val="10"/>
        <color rgb="FF000000"/>
        <rFont val="Noto Sans CJK SC"/>
        <family val="2"/>
      </rPr>
      <t xml:space="preserve">스킬 시스템 </t>
    </r>
    <r>
      <rPr>
        <sz val="10"/>
        <color rgb="FF000000"/>
        <rFont val="맑은 고딕"/>
        <family val="0"/>
        <charset val="1"/>
      </rPr>
      <t xml:space="preserve">+ 3</t>
    </r>
    <r>
      <rPr>
        <sz val="10"/>
        <color rgb="FF000000"/>
        <rFont val="Noto Sans CJK SC"/>
        <family val="2"/>
      </rPr>
      <t xml:space="preserve">직업 </t>
    </r>
    <r>
      <rPr>
        <sz val="10"/>
        <color rgb="FF000000"/>
        <rFont val="맑은 고딕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세부직업 스킬트리 추가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</si>
  <si>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작성일</t>
  </si>
  <si>
    <t xml:space="preserve">2026-06-16</t>
  </si>
  <si>
    <t xml:space="preserve">비고</t>
  </si>
  <si>
    <t xml:space="preserve">총 22시트. 13~17=스킬 메커니즘, 18~21=3직업 스킬트리. 빨강 레벨=30~40Lv 특색 진입</t>
  </si>
  <si>
    <t xml:space="preserve">시트 목차</t>
  </si>
  <si>
    <t xml:space="preserve">No</t>
  </si>
  <si>
    <t xml:space="preserve">시트명</t>
  </si>
  <si>
    <t xml:space="preserve">내용</t>
  </si>
  <si>
    <t xml:space="preserve">유형</t>
  </si>
  <si>
    <t xml:space="preserve">1</t>
  </si>
  <si>
    <t xml:space="preserve">개요</t>
  </si>
  <si>
    <t xml:space="preserve">문서정보 · 시트 목차 · 설계 원칙</t>
  </si>
  <si>
    <t xml:space="preserve">문서</t>
  </si>
  <si>
    <t xml:space="preserve">2</t>
  </si>
  <si>
    <r>
      <rPr>
        <b val="true"/>
        <sz val="10"/>
        <color rgb="FF000000"/>
        <rFont val="맑은 고딕"/>
        <family val="0"/>
        <charset val="1"/>
      </rPr>
      <t xml:space="preserve">1.</t>
    </r>
    <r>
      <rPr>
        <b val="true"/>
        <sz val="10"/>
        <color rgb="FF000000"/>
        <rFont val="Noto Sans CJK SC"/>
        <family val="2"/>
      </rPr>
      <t xml:space="preserve">캐릭터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기초스탯</t>
    </r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</si>
  <si>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대 주스탯 정의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레벨별 성장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직업 분류</t>
    </r>
  </si>
  <si>
    <t xml:space="preserve">데이터</t>
  </si>
  <si>
    <t xml:space="preserve">3</t>
  </si>
  <si>
    <r>
      <rPr>
        <b val="true"/>
        <sz val="10"/>
        <color rgb="FF000000"/>
        <rFont val="맑은 고딕"/>
        <family val="0"/>
        <charset val="1"/>
      </rPr>
      <t xml:space="preserve">2.</t>
    </r>
    <r>
      <rPr>
        <b val="true"/>
        <sz val="10"/>
        <color rgb="FF000000"/>
        <rFont val="Noto Sans CJK SC"/>
        <family val="2"/>
      </rPr>
      <t xml:space="preserve">캐릭터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파생스탯</t>
    </r>
  </si>
  <si>
    <t xml:space="preserve">주스탯→파생스탯 변환 공식 (계산기)</t>
  </si>
  <si>
    <t xml:space="preserve">공식</t>
  </si>
  <si>
    <t xml:space="preserve">4</t>
  </si>
  <si>
    <r>
      <rPr>
        <b val="true"/>
        <sz val="10"/>
        <color rgb="FF000000"/>
        <rFont val="맑은 고딕"/>
        <family val="0"/>
        <charset val="1"/>
      </rPr>
      <t xml:space="preserve">3.</t>
    </r>
    <r>
      <rPr>
        <b val="true"/>
        <sz val="10"/>
        <color rgb="FF000000"/>
        <rFont val="Noto Sans CJK SC"/>
        <family val="2"/>
      </rPr>
      <t xml:space="preserve">데미지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파이프라인</t>
    </r>
  </si>
  <si>
    <t xml:space="preserve">무기→최종 DPS 데미지 계산 전체 흐름 (계산기)</t>
  </si>
  <si>
    <t xml:space="preserve">5</t>
  </si>
  <si>
    <r>
      <rPr>
        <b val="true"/>
        <sz val="10"/>
        <color rgb="FF000000"/>
        <rFont val="맑은 고딕"/>
        <family val="0"/>
        <charset val="1"/>
      </rPr>
      <t xml:space="preserve">4.</t>
    </r>
    <r>
      <rPr>
        <b val="true"/>
        <sz val="10"/>
        <color rgb="FF000000"/>
        <rFont val="Noto Sans CJK SC"/>
        <family val="2"/>
      </rPr>
      <t xml:space="preserve">캐릭터창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장비슬롯</t>
    </r>
  </si>
  <si>
    <t xml:space="preserve">캐릭터창 UI 구성 · 장비 13슬롯 정의</t>
  </si>
  <si>
    <t xml:space="preserve">6</t>
  </si>
  <si>
    <r>
      <rPr>
        <b val="true"/>
        <sz val="10"/>
        <color rgb="FF000000"/>
        <rFont val="맑은 고딕"/>
        <family val="0"/>
        <charset val="1"/>
      </rPr>
      <t xml:space="preserve">5.</t>
    </r>
    <r>
      <rPr>
        <b val="true"/>
        <sz val="10"/>
        <color rgb="FF000000"/>
        <rFont val="Noto Sans CJK SC"/>
        <family val="2"/>
      </rPr>
      <t xml:space="preserve">인벤토리</t>
    </r>
  </si>
  <si>
    <t xml:space="preserve">그리드 인벤토리 · 아이템 크기 · 스택 규칙</t>
  </si>
  <si>
    <t xml:space="preserve">7</t>
  </si>
  <si>
    <r>
      <rPr>
        <b val="true"/>
        <sz val="10"/>
        <color rgb="FF000000"/>
        <rFont val="맑은 고딕"/>
        <family val="0"/>
        <charset val="1"/>
      </rPr>
      <t xml:space="preserve">6.</t>
    </r>
    <r>
      <rPr>
        <b val="true"/>
        <sz val="10"/>
        <color rgb="FF000000"/>
        <rFont val="Noto Sans CJK SC"/>
        <family val="2"/>
      </rPr>
      <t xml:space="preserve">아이템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등급</t>
    </r>
  </si>
  <si>
    <t xml:space="preserve">등급(일반~태초) · 색상 · 접사수 · 드롭률</t>
  </si>
  <si>
    <t xml:space="preserve">8</t>
  </si>
  <si>
    <r>
      <rPr>
        <b val="true"/>
        <sz val="10"/>
        <color rgb="FF000000"/>
        <rFont val="맑은 고딕"/>
        <family val="0"/>
        <charset val="1"/>
      </rPr>
      <t xml:space="preserve">7.</t>
    </r>
    <r>
      <rPr>
        <b val="true"/>
        <sz val="10"/>
        <color rgb="FF000000"/>
        <rFont val="Noto Sans CJK SC"/>
        <family val="2"/>
      </rPr>
      <t xml:space="preserve">아이템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레벨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요구</t>
    </r>
  </si>
  <si>
    <t xml:space="preserve">아이템레벨(iLvl) · 요구레벨 공식 · 직업제한</t>
  </si>
  <si>
    <t xml:space="preserve">9</t>
  </si>
  <si>
    <r>
      <rPr>
        <b val="true"/>
        <sz val="10"/>
        <color rgb="FF000000"/>
        <rFont val="맑은 고딕"/>
        <family val="0"/>
        <charset val="1"/>
      </rPr>
      <t xml:space="preserve">8.</t>
    </r>
    <r>
      <rPr>
        <b val="true"/>
        <sz val="10"/>
        <color rgb="FF000000"/>
        <rFont val="Noto Sans CJK SC"/>
        <family val="2"/>
      </rPr>
      <t xml:space="preserve">아이템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접사</t>
    </r>
  </si>
  <si>
    <t xml:space="preserve">주/부 접사 풀 · iLvl별 옵션 값 범위</t>
  </si>
  <si>
    <t xml:space="preserve">10</t>
  </si>
  <si>
    <r>
      <rPr>
        <b val="true"/>
        <sz val="10"/>
        <color rgb="FF000000"/>
        <rFont val="맑은 고딕"/>
        <family val="0"/>
        <charset val="1"/>
      </rPr>
      <t xml:space="preserve">9.</t>
    </r>
    <r>
      <rPr>
        <b val="true"/>
        <sz val="10"/>
        <color rgb="FF000000"/>
        <rFont val="Noto Sans CJK SC"/>
        <family val="2"/>
      </rPr>
      <t xml:space="preserve">몬스터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기초스탯</t>
    </r>
  </si>
  <si>
    <t xml:space="preserve">레벨별 HP/데미지/보상 스케일링 (공식)</t>
  </si>
  <si>
    <t xml:space="preserve">11</t>
  </si>
  <si>
    <r>
      <rPr>
        <b val="true"/>
        <sz val="10"/>
        <color rgb="FF000000"/>
        <rFont val="맑은 고딕"/>
        <family val="0"/>
        <charset val="1"/>
      </rPr>
      <t xml:space="preserve">10.</t>
    </r>
    <r>
      <rPr>
        <b val="true"/>
        <sz val="10"/>
        <color rgb="FF000000"/>
        <rFont val="Noto Sans CJK SC"/>
        <family val="2"/>
      </rPr>
      <t xml:space="preserve">몬스터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등급</t>
    </r>
  </si>
  <si>
    <t xml:space="preserve">일반~보스 등급별 배율 · 구성</t>
  </si>
  <si>
    <t xml:space="preserve">12</t>
  </si>
  <si>
    <r>
      <rPr>
        <b val="true"/>
        <sz val="10"/>
        <color rgb="FF000000"/>
        <rFont val="맑은 고딕"/>
        <family val="0"/>
        <charset val="1"/>
      </rPr>
      <t xml:space="preserve">11.</t>
    </r>
    <r>
      <rPr>
        <b val="true"/>
        <sz val="10"/>
        <color rgb="FF000000"/>
        <rFont val="Noto Sans CJK SC"/>
        <family val="2"/>
      </rPr>
      <t xml:space="preserve">몬스터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수식어</t>
    </r>
  </si>
  <si>
    <t xml:space="preserve">정예(엘리트) 수식어 27종 정의</t>
  </si>
  <si>
    <t xml:space="preserve">13</t>
  </si>
  <si>
    <r>
      <rPr>
        <b val="true"/>
        <sz val="10"/>
        <color rgb="FF000000"/>
        <rFont val="맑은 고딕"/>
        <family val="0"/>
        <charset val="1"/>
      </rPr>
      <t xml:space="preserve">12.</t>
    </r>
    <r>
      <rPr>
        <b val="true"/>
        <sz val="10"/>
        <color rgb="FF000000"/>
        <rFont val="Noto Sans CJK SC"/>
        <family val="2"/>
      </rPr>
      <t xml:space="preserve">난이도</t>
    </r>
  </si>
  <si>
    <t xml:space="preserve">보통~고통16 난이도별 배율 (공식)</t>
  </si>
  <si>
    <t xml:space="preserve">14</t>
  </si>
  <si>
    <r>
      <rPr>
        <b val="true"/>
        <sz val="10"/>
        <color rgb="FF000000"/>
        <rFont val="맑은 고딕"/>
        <family val="0"/>
        <charset val="1"/>
      </rPr>
      <t xml:space="preserve">13.</t>
    </r>
    <r>
      <rPr>
        <b val="true"/>
        <sz val="10"/>
        <color rgb="FF000000"/>
        <rFont val="Noto Sans CJK SC"/>
        <family val="2"/>
      </rPr>
      <t xml:space="preserve">스킬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시스템개요</t>
    </r>
  </si>
  <si>
    <r>
      <rPr>
        <sz val="10"/>
        <color rgb="FF000000"/>
        <rFont val="Noto Sans CJK SC"/>
        <family val="2"/>
      </rPr>
      <t xml:space="preserve">스킬 분류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카테고리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자원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슬롯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해금 규칙</t>
    </r>
  </si>
  <si>
    <t xml:space="preserve">17</t>
  </si>
  <si>
    <r>
      <rPr>
        <b val="true"/>
        <sz val="10"/>
        <color rgb="FF000000"/>
        <rFont val="맑은 고딕"/>
        <family val="0"/>
        <charset val="1"/>
      </rPr>
      <t xml:space="preserve">16.</t>
    </r>
    <r>
      <rPr>
        <b val="true"/>
        <sz val="10"/>
        <color rgb="FF000000"/>
        <rFont val="Noto Sans CJK SC"/>
        <family val="2"/>
      </rPr>
      <t xml:space="preserve">스킬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패시브</t>
    </r>
  </si>
  <si>
    <r>
      <rPr>
        <sz val="10"/>
        <color rgb="FF000000"/>
        <rFont val="Noto Sans CJK SC"/>
        <family val="2"/>
      </rPr>
      <t xml:space="preserve">패시브 스킬 </t>
    </r>
    <r>
      <rPr>
        <sz val="10"/>
        <color rgb="FF000000"/>
        <rFont val="맑은 고딕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종 </t>
    </r>
    <r>
      <rPr>
        <sz val="10"/>
        <color rgb="FF000000"/>
        <rFont val="맑은 고딕"/>
        <family val="0"/>
        <charset val="1"/>
      </rPr>
      <t xml:space="preserve">· 4</t>
    </r>
    <r>
      <rPr>
        <sz val="10"/>
        <color rgb="FF000000"/>
        <rFont val="Noto Sans CJK SC"/>
        <family val="2"/>
      </rPr>
      <t xml:space="preserve">슬롯 규칙</t>
    </r>
  </si>
  <si>
    <t xml:space="preserve">18</t>
  </si>
  <si>
    <r>
      <rPr>
        <b val="true"/>
        <sz val="10"/>
        <color rgb="FF000000"/>
        <rFont val="맑은 고딕"/>
        <family val="0"/>
        <charset val="1"/>
      </rPr>
      <t xml:space="preserve">17.</t>
    </r>
    <r>
      <rPr>
        <b val="true"/>
        <sz val="10"/>
        <color rgb="FF000000"/>
        <rFont val="Noto Sans CJK SC"/>
        <family val="2"/>
      </rPr>
      <t xml:space="preserve">스킬트리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빌드</t>
    </r>
  </si>
  <si>
    <r>
      <rPr>
        <sz val="10"/>
        <color rgb="FF000000"/>
        <rFont val="Noto Sans CJK SC"/>
        <family val="2"/>
      </rPr>
      <t xml:space="preserve">티어 해금 트리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진행 경로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추천 빌드</t>
    </r>
  </si>
  <si>
    <t xml:space="preserve">19</t>
  </si>
  <si>
    <r>
      <rPr>
        <b val="true"/>
        <sz val="10"/>
        <color rgb="FF000000"/>
        <rFont val="맑은 고딕"/>
        <family val="0"/>
        <charset val="1"/>
      </rPr>
      <t xml:space="preserve">18.</t>
    </r>
    <r>
      <rPr>
        <b val="true"/>
        <sz val="10"/>
        <color rgb="FF000000"/>
        <rFont val="Noto Sans CJK SC"/>
        <family val="2"/>
      </rPr>
      <t xml:space="preserve">직업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밸런스개요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</si>
  <si>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직업 </t>
    </r>
    <r>
      <rPr>
        <sz val="10"/>
        <color rgb="FF000000"/>
        <rFont val="맑은 고딕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세부직업 역할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장단점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파워예산 매트릭스</t>
    </r>
  </si>
  <si>
    <t xml:space="preserve">20</t>
  </si>
  <si>
    <r>
      <rPr>
        <b val="true"/>
        <sz val="10"/>
        <color rgb="FF000000"/>
        <rFont val="맑은 고딕"/>
        <family val="0"/>
        <charset val="1"/>
      </rPr>
      <t xml:space="preserve">19.</t>
    </r>
    <r>
      <rPr>
        <b val="true"/>
        <sz val="10"/>
        <color rgb="FF000000"/>
        <rFont val="Noto Sans CJK SC"/>
        <family val="2"/>
      </rPr>
      <t xml:space="preserve">전사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스킬트리</t>
    </r>
  </si>
  <si>
    <r>
      <rPr>
        <sz val="10"/>
        <color rgb="FF000000"/>
        <rFont val="Noto Sans CJK SC"/>
        <family val="2"/>
      </rPr>
      <t xml:space="preserve">검방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양손검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도끼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단도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창 </t>
    </r>
    <r>
      <rPr>
        <sz val="10"/>
        <color rgb="FF000000"/>
        <rFont val="맑은 고딕"/>
        <family val="0"/>
        <charset val="1"/>
      </rPr>
      <t xml:space="preserve">· Lv1~100</t>
    </r>
  </si>
  <si>
    <t xml:space="preserve">21</t>
  </si>
  <si>
    <r>
      <rPr>
        <b val="true"/>
        <sz val="10"/>
        <color rgb="FF000000"/>
        <rFont val="맑은 고딕"/>
        <family val="0"/>
        <charset val="1"/>
      </rPr>
      <t xml:space="preserve">20.</t>
    </r>
    <r>
      <rPr>
        <b val="true"/>
        <sz val="10"/>
        <color rgb="FF000000"/>
        <rFont val="Noto Sans CJK SC"/>
        <family val="2"/>
      </rPr>
      <t xml:space="preserve">궁수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스킬트리</t>
    </r>
  </si>
  <si>
    <r>
      <rPr>
        <sz val="10"/>
        <color rgb="FF000000"/>
        <rFont val="Noto Sans CJK SC"/>
        <family val="2"/>
      </rPr>
      <t xml:space="preserve">활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쇠뇌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마법궁수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속사궁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함정 </t>
    </r>
    <r>
      <rPr>
        <sz val="10"/>
        <color rgb="FF000000"/>
        <rFont val="맑은 고딕"/>
        <family val="0"/>
        <charset val="1"/>
      </rPr>
      <t xml:space="preserve">· Lv1~100</t>
    </r>
  </si>
  <si>
    <t xml:space="preserve">22</t>
  </si>
  <si>
    <r>
      <rPr>
        <b val="true"/>
        <sz val="10"/>
        <color rgb="FF000000"/>
        <rFont val="맑은 고딕"/>
        <family val="0"/>
        <charset val="1"/>
      </rPr>
      <t xml:space="preserve">21.</t>
    </r>
    <r>
      <rPr>
        <b val="true"/>
        <sz val="10"/>
        <color rgb="FF000000"/>
        <rFont val="Noto Sans CJK SC"/>
        <family val="2"/>
      </rPr>
      <t xml:space="preserve">마법사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스킬트리</t>
    </r>
  </si>
  <si>
    <r>
      <rPr>
        <sz val="10"/>
        <color rgb="FF000000"/>
        <rFont val="Noto Sans CJK SC"/>
        <family val="2"/>
      </rPr>
      <t xml:space="preserve">불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얼음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번개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물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바람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땅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버프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디버프 </t>
    </r>
    <r>
      <rPr>
        <sz val="10"/>
        <color rgb="FF000000"/>
        <rFont val="맑은 고딕"/>
        <family val="0"/>
        <charset val="1"/>
      </rPr>
      <t xml:space="preserve">· Lv1~100</t>
    </r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</si>
  <si>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파랑색 글씨 셀 </t>
    </r>
    <r>
      <rPr>
        <sz val="9"/>
        <color rgb="FF8A6D3B"/>
        <rFont val="맑은 고딕"/>
        <family val="0"/>
        <charset val="1"/>
      </rPr>
      <t xml:space="preserve">= </t>
    </r>
    <r>
      <rPr>
        <sz val="9"/>
        <color rgb="FF8A6D3B"/>
        <rFont val="Noto Sans CJK SC"/>
        <family val="2"/>
      </rPr>
      <t xml:space="preserve">직접 조정하는 입력값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밸런싱 노브</t>
    </r>
    <r>
      <rPr>
        <sz val="9"/>
        <color rgb="FF8A6D3B"/>
        <rFont val="맑은 고딕"/>
        <family val="0"/>
        <charset val="1"/>
      </rPr>
      <t xml:space="preserve">). </t>
    </r>
    <r>
      <rPr>
        <sz val="9"/>
        <color rgb="FF8A6D3B"/>
        <rFont val="Noto Sans CJK SC"/>
        <family val="2"/>
      </rPr>
      <t xml:space="preserve">검정 글씨 </t>
    </r>
    <r>
      <rPr>
        <sz val="9"/>
        <color rgb="FF8A6D3B"/>
        <rFont val="맑은 고딕"/>
        <family val="0"/>
        <charset val="1"/>
      </rPr>
      <t xml:space="preserve">= </t>
    </r>
    <r>
      <rPr>
        <sz val="9"/>
        <color rgb="FF8A6D3B"/>
        <rFont val="Noto Sans CJK SC"/>
        <family val="2"/>
      </rPr>
      <t xml:space="preserve">자동 계산 수식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띠 색상은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등급 색을 따릅니다</t>
    </r>
    <r>
      <rPr>
        <sz val="9"/>
        <color rgb="FF8A6D3B"/>
        <rFont val="맑은 고딕"/>
        <family val="0"/>
        <charset val="1"/>
      </rPr>
      <t xml:space="preserve">.</t>
    </r>
  </si>
  <si>
    <t xml:space="preserve">⚠️ 사이드이펙트  본 설계서의 모든 배율/계수는 게임 플레이 밸런스에 직결되므로, 한 값 변경 시 데미지·몬스터HP·드롭 시트가 연쇄적으로 영향을 받습니다.</t>
  </si>
  <si>
    <r>
      <rPr>
        <b val="true"/>
        <sz val="16"/>
        <color rgb="FFC8A24B"/>
        <rFont val="맑은 고딕"/>
        <family val="0"/>
        <charset val="1"/>
      </rPr>
      <t xml:space="preserve">1. </t>
    </r>
    <r>
      <rPr>
        <b val="true"/>
        <sz val="16"/>
        <color rgb="FFC8A24B"/>
        <rFont val="Noto Sans CJK SC"/>
        <family val="2"/>
      </rPr>
      <t xml:space="preserve">캐릭터 기초 스탯</t>
    </r>
  </si>
  <si>
    <r>
      <rPr>
        <i val="true"/>
        <sz val="9"/>
        <color rgb="FF6B5A40"/>
        <rFont val="맑은 고딕"/>
        <family val="0"/>
        <charset val="1"/>
      </rPr>
      <t xml:space="preserve">4</t>
    </r>
    <r>
      <rPr>
        <i val="true"/>
        <sz val="9"/>
        <color rgb="FF6B5A40"/>
        <rFont val="Noto Sans CJK SC"/>
        <family val="2"/>
      </rPr>
      <t xml:space="preserve">대 주스탯</t>
    </r>
    <r>
      <rPr>
        <i val="true"/>
        <sz val="9"/>
        <color rgb="FF6B5A40"/>
        <rFont val="맑은 고딕"/>
        <family val="0"/>
        <charset val="1"/>
      </rPr>
      <t xml:space="preserve">(Primary Stat) </t>
    </r>
    <r>
      <rPr>
        <i val="true"/>
        <sz val="9"/>
        <color rgb="FF6B5A40"/>
        <rFont val="Noto Sans CJK SC"/>
        <family val="2"/>
      </rPr>
      <t xml:space="preserve">정의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직업 분류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레벨별 성장</t>
    </r>
  </si>
  <si>
    <r>
      <rPr>
        <b val="true"/>
        <sz val="11"/>
        <color rgb="FFF4ECDD"/>
        <rFont val="맑은 고딕"/>
        <family val="0"/>
        <charset val="1"/>
      </rPr>
      <t xml:space="preserve">1-1. 4</t>
    </r>
    <r>
      <rPr>
        <b val="true"/>
        <sz val="11"/>
        <color rgb="FFF4ECDD"/>
        <rFont val="Noto Sans CJK SC"/>
        <family val="2"/>
      </rPr>
      <t xml:space="preserve">대 주스탯 정의</t>
    </r>
  </si>
  <si>
    <t xml:space="preserve">스탯</t>
  </si>
  <si>
    <t xml:space="preserve">영문</t>
  </si>
  <si>
    <t xml:space="preserve">약어</t>
  </si>
  <si>
    <t xml:space="preserve">설명</t>
  </si>
  <si>
    <t xml:space="preserve">주 사용 직업</t>
  </si>
  <si>
    <r>
      <rPr>
        <b val="true"/>
        <sz val="10"/>
        <color rgb="FFF4ECDD"/>
        <rFont val="맑은 고딕"/>
        <family val="0"/>
        <charset val="1"/>
      </rPr>
      <t xml:space="preserve">1</t>
    </r>
    <r>
      <rPr>
        <b val="true"/>
        <sz val="10"/>
        <color rgb="FFF4ECDD"/>
        <rFont val="Noto Sans CJK SC"/>
        <family val="2"/>
      </rPr>
      <t xml:space="preserve">포인트당 효과</t>
    </r>
  </si>
  <si>
    <t xml:space="preserve">힘</t>
  </si>
  <si>
    <t xml:space="preserve">Strength</t>
  </si>
  <si>
    <t xml:space="preserve">STR</t>
  </si>
  <si>
    <t xml:space="preserve">근력. 물리계열 핵심 주스탯</t>
  </si>
  <si>
    <t xml:space="preserve">바바리안 · 성전사</t>
  </si>
  <si>
    <t xml:space="preserve">데미지 +1% · 방어도 +1</t>
  </si>
  <si>
    <t xml:space="preserve">민첩</t>
  </si>
  <si>
    <t xml:space="preserve">Dexterity</t>
  </si>
  <si>
    <t xml:space="preserve">DEX</t>
  </si>
  <si>
    <t xml:space="preserve">민첩성. 회피/속도 계열 주스탯</t>
  </si>
  <si>
    <t xml:space="preserve">악마사냥꾼 · 수도사</t>
  </si>
  <si>
    <t xml:space="preserve">데미지 +1% · 방어도 +1(해당직업)</t>
  </si>
  <si>
    <t xml:space="preserve">지능</t>
  </si>
  <si>
    <t xml:space="preserve">Intelligence</t>
  </si>
  <si>
    <t xml:space="preserve">INT</t>
  </si>
  <si>
    <t xml:space="preserve">지능. 마법 계열 주스탯</t>
  </si>
  <si>
    <t xml:space="preserve">마법사 · 부두술사</t>
  </si>
  <si>
    <t xml:space="preserve">데미지 +1% · 전 저항 +0.1</t>
  </si>
  <si>
    <t xml:space="preserve">활력</t>
  </si>
  <si>
    <t xml:space="preserve">Vitality</t>
  </si>
  <si>
    <t xml:space="preserve">VIT</t>
  </si>
  <si>
    <t xml:space="preserve">생명력. 전 직업 공용 생존 스탯</t>
  </si>
  <si>
    <t xml:space="preserve">공용(전 직업)</t>
  </si>
  <si>
    <t xml:space="preserve">생명력 +(레벨 계수)</t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</si>
  <si>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규칙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캐릭터는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주스탯</t>
    </r>
    <r>
      <rPr>
        <sz val="9"/>
        <color rgb="FF8A6D3B"/>
        <rFont val="맑은 고딕"/>
        <family val="0"/>
        <charset val="1"/>
      </rPr>
      <t xml:space="preserve">(Main Stat)' 1</t>
    </r>
    <r>
      <rPr>
        <sz val="9"/>
        <color rgb="FF8A6D3B"/>
        <rFont val="Noto Sans CJK SC"/>
        <family val="2"/>
      </rPr>
      <t xml:space="preserve">포인트당 데미지가 </t>
    </r>
    <r>
      <rPr>
        <sz val="9"/>
        <color rgb="FF8A6D3B"/>
        <rFont val="맑은 고딕"/>
        <family val="0"/>
        <charset val="1"/>
      </rPr>
      <t xml:space="preserve">1% </t>
    </r>
    <r>
      <rPr>
        <sz val="9"/>
        <color rgb="FF8A6D3B"/>
        <rFont val="Noto Sans CJK SC"/>
        <family val="2"/>
      </rPr>
      <t xml:space="preserve">증가합니다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직업마다 주스탯이 다르므로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바바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힘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마법사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지능 등</t>
    </r>
    <r>
      <rPr>
        <sz val="9"/>
        <color rgb="FF8A6D3B"/>
        <rFont val="맑은 고딕"/>
        <family val="0"/>
        <charset val="1"/>
      </rPr>
      <t xml:space="preserve">) </t>
    </r>
    <r>
      <rPr>
        <sz val="9"/>
        <color rgb="FF8A6D3B"/>
        <rFont val="Noto Sans CJK SC"/>
        <family val="2"/>
      </rPr>
      <t xml:space="preserve">같은 아이템도 직업별 가치가 달라집니다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</si>
  <si>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1"/>
        <color rgb="FFF4ECDD"/>
        <rFont val="맑은 고딕"/>
        <family val="0"/>
        <charset val="1"/>
      </rPr>
      <t xml:space="preserve">1-2. </t>
    </r>
    <r>
      <rPr>
        <b val="true"/>
        <sz val="11"/>
        <color rgb="FFF4ECDD"/>
        <rFont val="Noto Sans CJK SC"/>
        <family val="2"/>
      </rPr>
      <t xml:space="preserve">직업별 기본 스탯 </t>
    </r>
    <r>
      <rPr>
        <b val="true"/>
        <sz val="11"/>
        <color rgb="FFF4ECDD"/>
        <rFont val="맑은 고딕"/>
        <family val="0"/>
        <charset val="1"/>
      </rPr>
      <t xml:space="preserve">&amp; </t>
    </r>
    <r>
      <rPr>
        <b val="true"/>
        <sz val="11"/>
        <color rgb="FFF4ECDD"/>
        <rFont val="Noto Sans CJK SC"/>
        <family val="2"/>
      </rPr>
      <t xml:space="preserve">레벨당 성장</t>
    </r>
  </si>
  <si>
    <t xml:space="preserve">직업</t>
  </si>
  <si>
    <t xml:space="preserve">주스탯</t>
  </si>
  <si>
    <t xml:space="preserve">레벨1 주스탯</t>
  </si>
  <si>
    <t xml:space="preserve">레벨1 활력</t>
  </si>
  <si>
    <t xml:space="preserve">레벨당 주스탯</t>
  </si>
  <si>
    <t xml:space="preserve">레벨당 부스탯·활력</t>
  </si>
  <si>
    <t xml:space="preserve">바바리안</t>
  </si>
  <si>
    <t xml:space="preserve">+3</t>
  </si>
  <si>
    <t xml:space="preserve">+1 / +2</t>
  </si>
  <si>
    <t xml:space="preserve">성전사</t>
  </si>
  <si>
    <t xml:space="preserve">악마사냥꾼</t>
  </si>
  <si>
    <t xml:space="preserve">수도사</t>
  </si>
  <si>
    <t xml:space="preserve">마법사</t>
  </si>
  <si>
    <t xml:space="preserve">부두술사</t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</si>
  <si>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레벨당 주스탯 </t>
    </r>
    <r>
      <rPr>
        <sz val="9"/>
        <color rgb="FF8A6D3B"/>
        <rFont val="맑은 고딕"/>
        <family val="0"/>
        <charset val="1"/>
      </rPr>
      <t xml:space="preserve">+3</t>
    </r>
    <r>
      <rPr>
        <sz val="9"/>
        <color rgb="FF8A6D3B"/>
        <rFont val="Noto Sans CJK SC"/>
        <family val="2"/>
      </rPr>
      <t xml:space="preserve">은 입력값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밸런싱</t>
    </r>
    <r>
      <rPr>
        <sz val="9"/>
        <color rgb="FF8A6D3B"/>
        <rFont val="맑은 고딕"/>
        <family val="0"/>
        <charset val="1"/>
      </rPr>
      <t xml:space="preserve">). </t>
    </r>
    <r>
      <rPr>
        <sz val="9"/>
        <color rgb="FF8A6D3B"/>
        <rFont val="Noto Sans CJK SC"/>
        <family val="2"/>
      </rPr>
      <t xml:space="preserve">부스탯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주스탯 외 </t>
    </r>
    <r>
      <rPr>
        <sz val="9"/>
        <color rgb="FF8A6D3B"/>
        <rFont val="맑은 고딕"/>
        <family val="0"/>
        <charset val="1"/>
      </rPr>
      <t xml:space="preserve">2</t>
    </r>
    <r>
      <rPr>
        <sz val="9"/>
        <color rgb="FF8A6D3B"/>
        <rFont val="Noto Sans CJK SC"/>
        <family val="2"/>
      </rPr>
      <t xml:space="preserve">종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은 </t>
    </r>
    <r>
      <rPr>
        <sz val="9"/>
        <color rgb="FF8A6D3B"/>
        <rFont val="맑은 고딕"/>
        <family val="0"/>
        <charset val="1"/>
      </rPr>
      <t xml:space="preserve">+1</t>
    </r>
    <r>
      <rPr>
        <sz val="9"/>
        <color rgb="FF8A6D3B"/>
        <rFont val="Noto Sans CJK SC"/>
        <family val="2"/>
      </rPr>
      <t xml:space="preserve">씩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활력은 </t>
    </r>
    <r>
      <rPr>
        <sz val="9"/>
        <color rgb="FF8A6D3B"/>
        <rFont val="맑은 고딕"/>
        <family val="0"/>
        <charset val="1"/>
      </rPr>
      <t xml:space="preserve">+2</t>
    </r>
    <r>
      <rPr>
        <sz val="9"/>
        <color rgb="FF8A6D3B"/>
        <rFont val="Noto Sans CJK SC"/>
        <family val="2"/>
      </rPr>
      <t xml:space="preserve">씩 자동 부여한다고 가정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만렙 </t>
    </r>
    <r>
      <rPr>
        <sz val="9"/>
        <color rgb="FF8A6D3B"/>
        <rFont val="맑은 고딕"/>
        <family val="0"/>
        <charset val="1"/>
      </rPr>
      <t xml:space="preserve">70 </t>
    </r>
    <r>
      <rPr>
        <sz val="9"/>
        <color rgb="FF8A6D3B"/>
        <rFont val="Noto Sans CJK SC"/>
        <family val="2"/>
      </rPr>
      <t xml:space="preserve">기준 주스탯 ≈ </t>
    </r>
    <r>
      <rPr>
        <sz val="9"/>
        <color rgb="FF8A6D3B"/>
        <rFont val="맑은 고딕"/>
        <family val="0"/>
        <charset val="1"/>
      </rPr>
      <t xml:space="preserve">10 + 3×69 = 217 (</t>
    </r>
    <r>
      <rPr>
        <sz val="9"/>
        <color rgb="FF8A6D3B"/>
        <rFont val="Noto Sans CJK SC"/>
        <family val="2"/>
      </rPr>
      <t xml:space="preserve">장비 제외</t>
    </r>
    <r>
      <rPr>
        <sz val="9"/>
        <color rgb="FF8A6D3B"/>
        <rFont val="맑은 고딕"/>
        <family val="0"/>
        <charset val="1"/>
      </rPr>
      <t xml:space="preserve">).</t>
    </r>
  </si>
  <si>
    <r>
      <rPr>
        <b val="true"/>
        <sz val="11"/>
        <color rgb="FFF4ECDD"/>
        <rFont val="맑은 고딕"/>
        <family val="0"/>
        <charset val="1"/>
      </rPr>
      <t xml:space="preserve">1-3. </t>
    </r>
    <r>
      <rPr>
        <b val="true"/>
        <sz val="11"/>
        <color rgb="FFF4ECDD"/>
        <rFont val="Noto Sans CJK SC"/>
        <family val="2"/>
      </rPr>
      <t xml:space="preserve">레벨별 누적 스탯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만렙 예시</t>
    </r>
    <r>
      <rPr>
        <b val="true"/>
        <sz val="11"/>
        <color rgb="FFF4ECDD"/>
        <rFont val="맑은 고딕"/>
        <family val="0"/>
        <charset val="1"/>
      </rPr>
      <t xml:space="preserve">: </t>
    </r>
    <r>
      <rPr>
        <b val="true"/>
        <sz val="11"/>
        <color rgb="FFF4ECDD"/>
        <rFont val="Noto Sans CJK SC"/>
        <family val="2"/>
      </rPr>
      <t xml:space="preserve">마법사 기준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</si>
  <si>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항목</t>
  </si>
  <si>
    <t xml:space="preserve">값</t>
  </si>
  <si>
    <t xml:space="preserve">계산식 설명</t>
  </si>
  <si>
    <t xml:space="preserve">최대 레벨</t>
  </si>
  <si>
    <t xml:space="preserve">입력값</t>
  </si>
  <si>
    <t xml:space="preserve">레벨당 활력</t>
  </si>
  <si>
    <t xml:space="preserve">만렙 누적 주스탯</t>
  </si>
  <si>
    <t xml:space="preserve">레벨1 주스탯 + (최대레벨-1) × 레벨당 주스탯</t>
  </si>
  <si>
    <t xml:space="preserve">만렙 누적 활력</t>
  </si>
  <si>
    <t xml:space="preserve">레벨1 활력 + (최대레벨-1) × 레벨당 활력</t>
  </si>
  <si>
    <r>
      <rPr>
        <b val="true"/>
        <sz val="16"/>
        <color rgb="FFC8A24B"/>
        <rFont val="맑은 고딕"/>
        <family val="0"/>
        <charset val="1"/>
      </rPr>
      <t xml:space="preserve">2. </t>
    </r>
    <r>
      <rPr>
        <b val="true"/>
        <sz val="16"/>
        <color rgb="FFC8A24B"/>
        <rFont val="Noto Sans CJK SC"/>
        <family val="2"/>
      </rPr>
      <t xml:space="preserve">캐릭터 파생 스탯 </t>
    </r>
    <r>
      <rPr>
        <b val="true"/>
        <sz val="16"/>
        <color rgb="FFC8A24B"/>
        <rFont val="맑은 고딕"/>
        <family val="0"/>
        <charset val="1"/>
      </rPr>
      <t xml:space="preserve">(</t>
    </r>
    <r>
      <rPr>
        <b val="true"/>
        <sz val="16"/>
        <color rgb="FFC8A24B"/>
        <rFont val="Noto Sans CJK SC"/>
        <family val="2"/>
      </rPr>
      <t xml:space="preserve">계산기</t>
    </r>
    <r>
      <rPr>
        <b val="true"/>
        <sz val="16"/>
        <color rgb="FFC8A24B"/>
        <rFont val="맑은 고딕"/>
        <family val="0"/>
        <charset val="1"/>
      </rPr>
      <t xml:space="preserve">)</t>
    </r>
  </si>
  <si>
    <t xml:space="preserve">주스탯 → 생명력 · 데미지증가 · 방어도 · 피해감소 변환 공식</t>
  </si>
  <si>
    <r>
      <rPr>
        <b val="true"/>
        <sz val="11"/>
        <color rgb="FFF4ECDD"/>
        <rFont val="맑은 고딕"/>
        <family val="0"/>
        <charset val="1"/>
      </rPr>
      <t xml:space="preserve">2-1. </t>
    </r>
    <r>
      <rPr>
        <b val="true"/>
        <sz val="11"/>
        <color rgb="FFF4ECDD"/>
        <rFont val="Noto Sans CJK SC"/>
        <family val="2"/>
      </rPr>
      <t xml:space="preserve">입력값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캐릭터 현재 상태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</si>
  <si>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입력 항목</t>
  </si>
  <si>
    <t xml:space="preserve">단위</t>
  </si>
  <si>
    <t xml:space="preserve">캐릭터 레벨</t>
  </si>
  <si>
    <t xml:space="preserve">Lv</t>
  </si>
  <si>
    <t xml:space="preserve">현재 레벨</t>
  </si>
  <si>
    <t xml:space="preserve">주스탯 (STR/DEX/INT)</t>
  </si>
  <si>
    <t xml:space="preserve">pt</t>
  </si>
  <si>
    <t xml:space="preserve">장비 포함 총 주스탯</t>
  </si>
  <si>
    <t xml:space="preserve">활력 (VIT)</t>
  </si>
  <si>
    <t xml:space="preserve">장비 포함 총 활력</t>
  </si>
  <si>
    <t xml:space="preserve">방어도 (Armor)</t>
  </si>
  <si>
    <t xml:space="preserve">장비 합산 방어도</t>
  </si>
  <si>
    <t xml:space="preserve">전 저항 (All Resist)</t>
  </si>
  <si>
    <t xml:space="preserve">원소 저항 평균</t>
  </si>
  <si>
    <t xml:space="preserve">몬스터 레벨(피격 기준)</t>
  </si>
  <si>
    <t xml:space="preserve">피해감소 계산 기준 몹 레벨</t>
  </si>
  <si>
    <t xml:space="preserve">활력당 생명력 계수</t>
  </si>
  <si>
    <t xml:space="preserve">레벨70 기준 VIT 1당 생명력</t>
  </si>
  <si>
    <t xml:space="preserve">기본 생명력 계수</t>
  </si>
  <si>
    <t xml:space="preserve">레벨당 기본 생명력</t>
  </si>
  <si>
    <r>
      <rPr>
        <b val="true"/>
        <sz val="11"/>
        <color rgb="FFF4ECDD"/>
        <rFont val="맑은 고딕"/>
        <family val="0"/>
        <charset val="1"/>
      </rPr>
      <t xml:space="preserve">2-2. </t>
    </r>
    <r>
      <rPr>
        <b val="true"/>
        <sz val="11"/>
        <color rgb="FFF4ECDD"/>
        <rFont val="Noto Sans CJK SC"/>
        <family val="2"/>
      </rPr>
      <t xml:space="preserve">파생 스탯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자동 계산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</si>
  <si>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파생 스탯</t>
  </si>
  <si>
    <t xml:space="preserve">결과</t>
  </si>
  <si>
    <t xml:space="preserve">최대 생명력</t>
  </si>
  <si>
    <t xml:space="preserve">HP</t>
  </si>
  <si>
    <r>
      <rPr>
        <sz val="10"/>
        <color rgb="FF000000"/>
        <rFont val="맑은 고딕"/>
        <family val="0"/>
        <charset val="1"/>
      </rPr>
      <t xml:space="preserve">(36 + </t>
    </r>
    <r>
      <rPr>
        <sz val="10"/>
        <color rgb="FF000000"/>
        <rFont val="Noto Sans CJK SC"/>
        <family val="2"/>
      </rPr>
      <t xml:space="preserve">기본계수</t>
    </r>
    <r>
      <rPr>
        <sz val="10"/>
        <color rgb="FF000000"/>
        <rFont val="맑은 고딕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레벨</t>
    </r>
    <r>
      <rPr>
        <sz val="10"/>
        <color rgb="FF000000"/>
        <rFont val="맑은 고딕"/>
        <family val="0"/>
        <charset val="1"/>
      </rPr>
      <t xml:space="preserve">) + </t>
    </r>
    <r>
      <rPr>
        <sz val="10"/>
        <color rgb="FF000000"/>
        <rFont val="Noto Sans CJK SC"/>
        <family val="2"/>
      </rPr>
      <t xml:space="preserve">활력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활력당계수</t>
    </r>
  </si>
  <si>
    <t xml:space="preserve">데미지 증가율</t>
  </si>
  <si>
    <t xml:space="preserve">×</t>
  </si>
  <si>
    <t xml:space="preserve">주스탯 1pt당 +1% → 주스탯/100</t>
  </si>
  <si>
    <t xml:space="preserve">데미지 배율(최종)</t>
  </si>
  <si>
    <t xml:space="preserve">배</t>
  </si>
  <si>
    <r>
      <rPr>
        <sz val="10"/>
        <color rgb="FF000000"/>
        <rFont val="맑은 고딕"/>
        <family val="0"/>
        <charset val="1"/>
      </rPr>
      <t xml:space="preserve">1 + </t>
    </r>
    <r>
      <rPr>
        <sz val="10"/>
        <color rgb="FF000000"/>
        <rFont val="Noto Sans CJK SC"/>
        <family val="2"/>
      </rPr>
      <t xml:space="preserve">주스탯</t>
    </r>
    <r>
      <rPr>
        <sz val="10"/>
        <color rgb="FF000000"/>
        <rFont val="맑은 고딕"/>
        <family val="0"/>
        <charset val="1"/>
      </rPr>
      <t xml:space="preserve">/100</t>
    </r>
  </si>
  <si>
    <t xml:space="preserve">방어도 피해감소</t>
  </si>
  <si>
    <t xml:space="preserve">DR</t>
  </si>
  <si>
    <r>
      <rPr>
        <sz val="10"/>
        <color rgb="FF000000"/>
        <rFont val="맑은 고딕"/>
        <family val="0"/>
        <charset val="1"/>
      </rPr>
      <t xml:space="preserve">Armor / (Armor + 50×</t>
    </r>
    <r>
      <rPr>
        <sz val="10"/>
        <color rgb="FF000000"/>
        <rFont val="Noto Sans CJK SC"/>
        <family val="2"/>
      </rPr>
      <t xml:space="preserve">몹레벨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</si>
  <si>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저항 피해감소</t>
  </si>
  <si>
    <r>
      <rPr>
        <sz val="10"/>
        <color rgb="FF000000"/>
        <rFont val="맑은 고딕"/>
        <family val="0"/>
        <charset val="1"/>
      </rPr>
      <t xml:space="preserve">Resist / (Resist + 5×</t>
    </r>
    <r>
      <rPr>
        <sz val="10"/>
        <color rgb="FF000000"/>
        <rFont val="Noto Sans CJK SC"/>
        <family val="2"/>
      </rPr>
      <t xml:space="preserve">몹레벨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</si>
  <si>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총 피해감소(합성)</t>
  </si>
  <si>
    <r>
      <rPr>
        <sz val="10"/>
        <color rgb="FF000000"/>
        <rFont val="맑은 고딕"/>
        <family val="0"/>
        <charset val="1"/>
      </rPr>
      <t xml:space="preserve">1-(1-</t>
    </r>
    <r>
      <rPr>
        <sz val="10"/>
        <color rgb="FF000000"/>
        <rFont val="Noto Sans CJK SC"/>
        <family val="2"/>
      </rPr>
      <t xml:space="preserve">방어</t>
    </r>
    <r>
      <rPr>
        <sz val="10"/>
        <color rgb="FF000000"/>
        <rFont val="맑은 고딕"/>
        <family val="0"/>
        <charset val="1"/>
      </rPr>
      <t xml:space="preserve">DR)×(1-</t>
    </r>
    <r>
      <rPr>
        <sz val="10"/>
        <color rgb="FF000000"/>
        <rFont val="Noto Sans CJK SC"/>
        <family val="2"/>
      </rPr>
      <t xml:space="preserve">저항</t>
    </r>
    <r>
      <rPr>
        <sz val="10"/>
        <color rgb="FF000000"/>
        <rFont val="맑은 고딕"/>
        <family val="0"/>
        <charset val="1"/>
      </rPr>
      <t xml:space="preserve">DR) (</t>
    </r>
    <r>
      <rPr>
        <sz val="10"/>
        <color rgb="FF000000"/>
        <rFont val="Noto Sans CJK SC"/>
        <family val="2"/>
      </rPr>
      <t xml:space="preserve">곱연산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</si>
  <si>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F4ECDD"/>
        <rFont val="맑은 고딕"/>
        <family val="0"/>
        <charset val="1"/>
      </rPr>
      <t xml:space="preserve">2-3. </t>
    </r>
    <r>
      <rPr>
        <b val="true"/>
        <sz val="11"/>
        <color rgb="FFF4ECDD"/>
        <rFont val="Noto Sans CJK SC"/>
        <family val="2"/>
      </rPr>
      <t xml:space="preserve">종합 지표 </t>
    </r>
    <r>
      <rPr>
        <b val="true"/>
        <sz val="11"/>
        <color rgb="FFF4ECDD"/>
        <rFont val="맑은 고딕"/>
        <family val="0"/>
        <charset val="1"/>
      </rPr>
      <t xml:space="preserve">(Toughness)</t>
    </r>
  </si>
  <si>
    <t xml:space="preserve">지표</t>
  </si>
  <si>
    <t xml:space="preserve">유효 생명력(EHP)</t>
  </si>
  <si>
    <t xml:space="preserve">EHP</t>
  </si>
  <si>
    <t xml:space="preserve">최대생명력 / (1 - 총피해감소) — 실질 버티는 체력</t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</si>
  <si>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방어 공식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방어도와 저항의 피해감소는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몬스터 레벨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에 비례해 약화됩니다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같은 방어도라도 고레벨 몹에게는 감소율이 낮아집니다</t>
    </r>
    <r>
      <rPr>
        <sz val="9"/>
        <color rgb="FF8A6D3B"/>
        <rFont val="맑은 고딕"/>
        <family val="0"/>
        <charset val="1"/>
      </rPr>
      <t xml:space="preserve">.</t>
    </r>
  </si>
  <si>
    <t xml:space="preserve">🔆 중요  방어도DR과 저항DR은 더하지 않고 '곱(multiplicative)'으로 합쳐집니다. 50%+50%=100%(무적)이 아니라 1-(0.5×0.5)=75%가 됩니다.</t>
  </si>
  <si>
    <r>
      <rPr>
        <b val="true"/>
        <sz val="16"/>
        <color rgb="FFC8A24B"/>
        <rFont val="맑은 고딕"/>
        <family val="0"/>
        <charset val="1"/>
      </rPr>
      <t xml:space="preserve">3. </t>
    </r>
    <r>
      <rPr>
        <b val="true"/>
        <sz val="16"/>
        <color rgb="FFC8A24B"/>
        <rFont val="Noto Sans CJK SC"/>
        <family val="2"/>
      </rPr>
      <t xml:space="preserve">데미지 파이프라인 </t>
    </r>
    <r>
      <rPr>
        <b val="true"/>
        <sz val="16"/>
        <color rgb="FFC8A24B"/>
        <rFont val="맑은 고딕"/>
        <family val="0"/>
        <charset val="1"/>
      </rPr>
      <t xml:space="preserve">(</t>
    </r>
    <r>
      <rPr>
        <b val="true"/>
        <sz val="16"/>
        <color rgb="FFC8A24B"/>
        <rFont val="Noto Sans CJK SC"/>
        <family val="2"/>
      </rPr>
      <t xml:space="preserve">계산기</t>
    </r>
    <r>
      <rPr>
        <b val="true"/>
        <sz val="16"/>
        <color rgb="FFC8A24B"/>
        <rFont val="맑은 고딕"/>
        <family val="0"/>
        <charset val="1"/>
      </rPr>
      <t xml:space="preserve">)</t>
    </r>
  </si>
  <si>
    <t xml:space="preserve">무기 데미지 → 주스탯 → 치명타 → 스킬 → 정예특화 → 최종 DPS</t>
  </si>
  <si>
    <r>
      <rPr>
        <b val="true"/>
        <sz val="11"/>
        <color rgb="FFF4ECDD"/>
        <rFont val="맑은 고딕"/>
        <family val="0"/>
        <charset val="1"/>
      </rPr>
      <t xml:space="preserve">3-1. </t>
    </r>
    <r>
      <rPr>
        <b val="true"/>
        <sz val="11"/>
        <color rgb="FFF4ECDD"/>
        <rFont val="Noto Sans CJK SC"/>
        <family val="2"/>
      </rPr>
      <t xml:space="preserve">입력값</t>
    </r>
  </si>
  <si>
    <t xml:space="preserve">무기 최소 데미지</t>
  </si>
  <si>
    <t xml:space="preserve">무기 옵션 최소 피해</t>
  </si>
  <si>
    <t xml:space="preserve">무기 최대 데미지</t>
  </si>
  <si>
    <t xml:space="preserve">무기 옵션 최대 피해</t>
  </si>
  <si>
    <t xml:space="preserve">공격 속도(APS)</t>
  </si>
  <si>
    <t xml:space="preserve">회/초</t>
  </si>
  <si>
    <t xml:space="preserve">Attacks Per Second</t>
  </si>
  <si>
    <t xml:space="preserve">STR/DEX/INT</t>
  </si>
  <si>
    <t xml:space="preserve">치명타 확률</t>
  </si>
  <si>
    <t xml:space="preserve">%</t>
  </si>
  <si>
    <t xml:space="preserve">Crit Chance (CHC)</t>
  </si>
  <si>
    <t xml:space="preserve">치명타 피해</t>
  </si>
  <si>
    <r>
      <rPr>
        <sz val="10"/>
        <color rgb="FF000000"/>
        <rFont val="맑은 고딕"/>
        <family val="0"/>
        <charset val="1"/>
      </rPr>
      <t xml:space="preserve">Crit Damage </t>
    </r>
    <r>
      <rPr>
        <sz val="10"/>
        <color rgb="FF000000"/>
        <rFont val="Noto Sans CJK SC"/>
        <family val="2"/>
      </rPr>
      <t xml:space="preserve">추가배수 </t>
    </r>
    <r>
      <rPr>
        <sz val="10"/>
        <color rgb="FF000000"/>
        <rFont val="맑은 고딕"/>
        <family val="0"/>
        <charset val="1"/>
      </rPr>
      <t xml:space="preserve">(CHD)</t>
    </r>
  </si>
  <si>
    <t xml:space="preserve">스킬 계수</t>
  </si>
  <si>
    <t xml:space="preserve">스킬 데미지 배율(200%)</t>
  </si>
  <si>
    <t xml:space="preserve">추가 데미지%</t>
  </si>
  <si>
    <t xml:space="preserve">원소/스킬/버프 합산 가산</t>
  </si>
  <si>
    <t xml:space="preserve">정예 데미지%</t>
  </si>
  <si>
    <t xml:space="preserve">엘리트 대상 추가 피해</t>
  </si>
  <si>
    <r>
      <rPr>
        <b val="true"/>
        <sz val="11"/>
        <color rgb="FFF4ECDD"/>
        <rFont val="맑은 고딕"/>
        <family val="0"/>
        <charset val="1"/>
      </rPr>
      <t xml:space="preserve">3-2. </t>
    </r>
    <r>
      <rPr>
        <b val="true"/>
        <sz val="11"/>
        <color rgb="FFF4ECDD"/>
        <rFont val="Noto Sans CJK SC"/>
        <family val="2"/>
      </rPr>
      <t xml:space="preserve">단계별 계산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위 → 아래 순차 누적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</si>
  <si>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단계</t>
  </si>
  <si>
    <t xml:space="preserve">계산 항목</t>
  </si>
  <si>
    <t xml:space="preserve">공식 / 설명</t>
  </si>
  <si>
    <t xml:space="preserve">①</t>
  </si>
  <si>
    <t xml:space="preserve">무기 평균 데미지</t>
  </si>
  <si>
    <t xml:space="preserve">피해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</si>
  <si>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최소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최대</t>
    </r>
    <r>
      <rPr>
        <sz val="10"/>
        <color rgb="FF000000"/>
        <rFont val="맑은 고딕"/>
        <family val="0"/>
        <charset val="1"/>
      </rPr>
      <t xml:space="preserve">)/2</t>
    </r>
  </si>
  <si>
    <t xml:space="preserve">②</t>
  </si>
  <si>
    <t xml:space="preserve">기본 DPS (속도반영)</t>
  </si>
  <si>
    <t xml:space="preserve">DPS</t>
  </si>
  <si>
    <t xml:space="preserve">평균데미지 × 공격속도</t>
  </si>
  <si>
    <t xml:space="preserve">③</t>
  </si>
  <si>
    <t xml:space="preserve">주스탯 배율 적용</t>
  </si>
  <si>
    <r>
      <rPr>
        <sz val="10"/>
        <color rgb="FF000000"/>
        <rFont val="맑은 고딕"/>
        <family val="0"/>
        <charset val="1"/>
      </rPr>
      <t xml:space="preserve">× (1 + </t>
    </r>
    <r>
      <rPr>
        <sz val="10"/>
        <color rgb="FF000000"/>
        <rFont val="Noto Sans CJK SC"/>
        <family val="2"/>
      </rPr>
      <t xml:space="preserve">주스탯</t>
    </r>
    <r>
      <rPr>
        <sz val="10"/>
        <color rgb="FF000000"/>
        <rFont val="맑은 고딕"/>
        <family val="0"/>
        <charset val="1"/>
      </rPr>
      <t xml:space="preserve">/100)</t>
    </r>
  </si>
  <si>
    <t xml:space="preserve">④</t>
  </si>
  <si>
    <t xml:space="preserve">치명타 평균 배율</t>
  </si>
  <si>
    <r>
      <rPr>
        <sz val="10"/>
        <color rgb="FF000000"/>
        <rFont val="맑은 고딕"/>
        <family val="0"/>
        <charset val="1"/>
      </rPr>
      <t xml:space="preserve">1 + </t>
    </r>
    <r>
      <rPr>
        <sz val="10"/>
        <color rgb="FF000000"/>
        <rFont val="Noto Sans CJK SC"/>
        <family val="2"/>
      </rPr>
      <t xml:space="preserve">치명타확률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치명타피해</t>
    </r>
  </si>
  <si>
    <t xml:space="preserve">⑤</t>
  </si>
  <si>
    <t xml:space="preserve">치명타 반영 DPS</t>
  </si>
  <si>
    <r>
      <rPr>
        <sz val="10"/>
        <color rgb="FF000000"/>
        <rFont val="맑은 고딕"/>
        <family val="0"/>
        <charset val="1"/>
      </rPr>
      <t xml:space="preserve">③ × </t>
    </r>
    <r>
      <rPr>
        <sz val="10"/>
        <color rgb="FF000000"/>
        <rFont val="Noto Sans CJK SC"/>
        <family val="2"/>
      </rPr>
      <t xml:space="preserve">치명타 평균배율</t>
    </r>
  </si>
  <si>
    <t xml:space="preserve">⑥</t>
  </si>
  <si>
    <t xml:space="preserve">추가 데미지% 적용</t>
  </si>
  <si>
    <r>
      <rPr>
        <sz val="10"/>
        <color rgb="FF000000"/>
        <rFont val="맑은 고딕"/>
        <family val="0"/>
        <charset val="1"/>
      </rPr>
      <t xml:space="preserve">× (1 + </t>
    </r>
    <r>
      <rPr>
        <sz val="10"/>
        <color rgb="FF000000"/>
        <rFont val="Noto Sans CJK SC"/>
        <family val="2"/>
      </rPr>
      <t xml:space="preserve">추가데미지</t>
    </r>
    <r>
      <rPr>
        <sz val="10"/>
        <color rgb="FF000000"/>
        <rFont val="맑은 고딕"/>
        <family val="0"/>
        <charset val="1"/>
      </rPr>
      <t xml:space="preserve">%)</t>
    </r>
  </si>
  <si>
    <t xml:space="preserve">⑦</t>
  </si>
  <si>
    <t xml:space="preserve">스킬 1타 데미지</t>
  </si>
  <si>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스킬 계수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한 번 타격 피해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</si>
  <si>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⑧</t>
  </si>
  <si>
    <t xml:space="preserve">정예 대상 1타</t>
  </si>
  <si>
    <r>
      <rPr>
        <sz val="10"/>
        <color rgb="FF000000"/>
        <rFont val="맑은 고딕"/>
        <family val="0"/>
        <charset val="1"/>
      </rPr>
      <t xml:space="preserve">× (1 + </t>
    </r>
    <r>
      <rPr>
        <sz val="10"/>
        <color rgb="FF000000"/>
        <rFont val="Noto Sans CJK SC"/>
        <family val="2"/>
      </rPr>
      <t xml:space="preserve">정예 데미지</t>
    </r>
    <r>
      <rPr>
        <sz val="10"/>
        <color rgb="FF000000"/>
        <rFont val="맑은 고딕"/>
        <family val="0"/>
        <charset val="1"/>
      </rPr>
      <t xml:space="preserve">%) — </t>
    </r>
    <r>
      <rPr>
        <sz val="10"/>
        <color rgb="FF000000"/>
        <rFont val="Noto Sans CJK SC"/>
        <family val="2"/>
      </rPr>
      <t xml:space="preserve">엘리트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보스 대상</t>
    </r>
  </si>
  <si>
    <r>
      <rPr>
        <b val="true"/>
        <sz val="11"/>
        <color rgb="FFF4ECDD"/>
        <rFont val="맑은 고딕"/>
        <family val="0"/>
        <charset val="1"/>
      </rPr>
      <t xml:space="preserve">3-3. </t>
    </r>
    <r>
      <rPr>
        <b val="true"/>
        <sz val="11"/>
        <color rgb="FFF4ECDD"/>
        <rFont val="Noto Sans CJK SC"/>
        <family val="2"/>
      </rPr>
      <t xml:space="preserve">최종 지표</t>
    </r>
  </si>
  <si>
    <t xml:space="preserve">종합 DPS (시트값)</t>
  </si>
  <si>
    <t xml:space="preserve">⑥ 단계 = 캐릭터창에 표시되는 '시트 DPS'</t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</si>
  <si>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</t>
    </r>
    <r>
      <rPr>
        <sz val="9"/>
        <color rgb="FF8A6D3B"/>
        <rFont val="Noto Sans CJK SC"/>
        <family val="2"/>
      </rPr>
      <t xml:space="preserve">의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시트 </t>
    </r>
    <r>
      <rPr>
        <sz val="9"/>
        <color rgb="FF8A6D3B"/>
        <rFont val="맑은 고딕"/>
        <family val="0"/>
        <charset val="1"/>
      </rPr>
      <t xml:space="preserve">DPS'</t>
    </r>
    <r>
      <rPr>
        <sz val="9"/>
        <color rgb="FF8A6D3B"/>
        <rFont val="Noto Sans CJK SC"/>
        <family val="2"/>
      </rPr>
      <t xml:space="preserve">는 평균 무기데미지 </t>
    </r>
    <r>
      <rPr>
        <sz val="9"/>
        <color rgb="FF8A6D3B"/>
        <rFont val="맑은 고딕"/>
        <family val="0"/>
        <charset val="1"/>
      </rPr>
      <t xml:space="preserve">× </t>
    </r>
    <r>
      <rPr>
        <sz val="9"/>
        <color rgb="FF8A6D3B"/>
        <rFont val="Noto Sans CJK SC"/>
        <family val="2"/>
      </rPr>
      <t xml:space="preserve">공속 </t>
    </r>
    <r>
      <rPr>
        <sz val="9"/>
        <color rgb="FF8A6D3B"/>
        <rFont val="맑은 고딕"/>
        <family val="0"/>
        <charset val="1"/>
      </rPr>
      <t xml:space="preserve">× (1+</t>
    </r>
    <r>
      <rPr>
        <sz val="9"/>
        <color rgb="FF8A6D3B"/>
        <rFont val="Noto Sans CJK SC"/>
        <family val="2"/>
      </rPr>
      <t xml:space="preserve">주스탯</t>
    </r>
    <r>
      <rPr>
        <sz val="9"/>
        <color rgb="FF8A6D3B"/>
        <rFont val="맑은 고딕"/>
        <family val="0"/>
        <charset val="1"/>
      </rPr>
      <t xml:space="preserve">/100) × </t>
    </r>
    <r>
      <rPr>
        <sz val="9"/>
        <color rgb="FF8A6D3B"/>
        <rFont val="Noto Sans CJK SC"/>
        <family val="2"/>
      </rPr>
      <t xml:space="preserve">치명타평균배율 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스킬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정예 보정은 실전투에서 추가로 곱해집니다</t>
    </r>
    <r>
      <rPr>
        <sz val="9"/>
        <color rgb="FF8A6D3B"/>
        <rFont val="맑은 고딕"/>
        <family val="0"/>
        <charset val="1"/>
      </rPr>
      <t xml:space="preserve">.</t>
    </r>
  </si>
  <si>
    <t xml:space="preserve">🔆 중요  치명타확률과 치명타피해는 '곱'으로 작동합니다. 한쪽만 올리면 효율이 떨어지므로 CHC:CHD ≈ 1:10 비율을 유지하세요.</t>
  </si>
  <si>
    <t xml:space="preserve">⚠️ 사이드이펙트  추가 데미지%(⑥)는 같은 카테고리면 가산, 다른 카테고리면 곱이 되도록 엔진에서 분리 관리해야 밸런스가 무너지지 않습니다.</t>
  </si>
  <si>
    <r>
      <rPr>
        <b val="true"/>
        <sz val="16"/>
        <color rgb="FFC8A24B"/>
        <rFont val="맑은 고딕"/>
        <family val="0"/>
        <charset val="1"/>
      </rPr>
      <t xml:space="preserve">4. </t>
    </r>
    <r>
      <rPr>
        <b val="true"/>
        <sz val="16"/>
        <color rgb="FFC8A24B"/>
        <rFont val="Noto Sans CJK SC"/>
        <family val="2"/>
      </rPr>
      <t xml:space="preserve">캐릭터창 </t>
    </r>
    <r>
      <rPr>
        <b val="true"/>
        <sz val="16"/>
        <color rgb="FFC8A24B"/>
        <rFont val="맑은 고딕"/>
        <family val="0"/>
        <charset val="1"/>
      </rPr>
      <t xml:space="preserve">UI · </t>
    </r>
    <r>
      <rPr>
        <b val="true"/>
        <sz val="16"/>
        <color rgb="FFC8A24B"/>
        <rFont val="Noto Sans CJK SC"/>
        <family val="2"/>
      </rPr>
      <t xml:space="preserve">장비 슬롯</t>
    </r>
  </si>
  <si>
    <t xml:space="preserve">캐릭터창 표시 구성 · 장비 13슬롯 정의 (Diablo III 기준)</t>
  </si>
  <si>
    <r>
      <rPr>
        <b val="true"/>
        <sz val="11"/>
        <color rgb="FFF4ECDD"/>
        <rFont val="맑은 고딕"/>
        <family val="0"/>
        <charset val="1"/>
      </rPr>
      <t xml:space="preserve">4-1. </t>
    </r>
    <r>
      <rPr>
        <b val="true"/>
        <sz val="11"/>
        <color rgb="FFF4ECDD"/>
        <rFont val="Noto Sans CJK SC"/>
        <family val="2"/>
      </rPr>
      <t xml:space="preserve">캐릭터창 표시 구성</t>
    </r>
  </si>
  <si>
    <t xml:space="preserve">영역</t>
  </si>
  <si>
    <t xml:space="preserve">구성요소</t>
  </si>
  <si>
    <t xml:space="preserve">상단</t>
  </si>
  <si>
    <t xml:space="preserve">이름 · 레벨 · 직업 · 경험치바</t>
  </si>
  <si>
    <t xml:space="preserve">캐릭터 식별 + 진행도</t>
  </si>
  <si>
    <t xml:space="preserve">좌측 패널</t>
  </si>
  <si>
    <t xml:space="preserve">공격(Damage) · 방어(Toughness) · 회복(Recovery)</t>
  </si>
  <si>
    <r>
      <rPr>
        <sz val="10"/>
        <color rgb="FF000000"/>
        <rFont val="맑은 고딕"/>
        <family val="0"/>
        <charset val="1"/>
      </rPr>
      <t xml:space="preserve">D3 3</t>
    </r>
    <r>
      <rPr>
        <sz val="10"/>
        <color rgb="FF000000"/>
        <rFont val="Noto Sans CJK SC"/>
        <family val="2"/>
      </rPr>
      <t xml:space="preserve">대 요약 지표</t>
    </r>
  </si>
  <si>
    <t xml:space="preserve">주스탯 표시</t>
  </si>
  <si>
    <t xml:space="preserve">힘 · 민첩 · 지능 · 활력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</si>
  <si>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대 주스탯 수치</t>
    </r>
  </si>
  <si>
    <t xml:space="preserve">세부 공격</t>
  </si>
  <si>
    <t xml:space="preserve">치명타확률 · 치명타피해 · 공격속도 · 시트DPS</t>
  </si>
  <si>
    <t xml:space="preserve">데미지 파이프라인 결과</t>
  </si>
  <si>
    <t xml:space="preserve">세부 방어</t>
  </si>
  <si>
    <t xml:space="preserve">방어도 · 전저항 · 생명력 · 피해감소%</t>
  </si>
  <si>
    <t xml:space="preserve">파생스탯 시트 결과</t>
  </si>
  <si>
    <t xml:space="preserve">세부 회복</t>
  </si>
  <si>
    <t xml:space="preserve">초당생명력재생 · 흡혈 · 회복 효과</t>
  </si>
  <si>
    <t xml:space="preserve">지속 생존력</t>
  </si>
  <si>
    <t xml:space="preserve">장비 영역</t>
  </si>
  <si>
    <r>
      <rPr>
        <b val="true"/>
        <sz val="10"/>
        <color rgb="FF000000"/>
        <rFont val="맑은 고딕"/>
        <family val="0"/>
        <charset val="1"/>
      </rPr>
      <t xml:space="preserve">13</t>
    </r>
    <r>
      <rPr>
        <b val="true"/>
        <sz val="10"/>
        <color rgb="FF000000"/>
        <rFont val="Noto Sans CJK SC"/>
        <family val="2"/>
      </rPr>
      <t xml:space="preserve">개 슬롯 </t>
    </r>
    <r>
      <rPr>
        <b val="true"/>
        <sz val="10"/>
        <color rgb="FF000000"/>
        <rFont val="맑은 고딕"/>
        <family val="0"/>
        <charset val="1"/>
      </rPr>
      <t xml:space="preserve">+ </t>
    </r>
    <r>
      <rPr>
        <b val="true"/>
        <sz val="10"/>
        <color rgb="FF000000"/>
        <rFont val="Noto Sans CJK SC"/>
        <family val="2"/>
      </rPr>
      <t xml:space="preserve">장착 아이템 아이콘</t>
    </r>
  </si>
  <si>
    <t xml:space="preserve">아래 4-2 참조</t>
  </si>
  <si>
    <r>
      <rPr>
        <b val="true"/>
        <sz val="11"/>
        <color rgb="FFF4ECDD"/>
        <rFont val="맑은 고딕"/>
        <family val="0"/>
        <charset val="1"/>
      </rPr>
      <t xml:space="preserve">4-2. </t>
    </r>
    <r>
      <rPr>
        <b val="true"/>
        <sz val="11"/>
        <color rgb="FFF4ECDD"/>
        <rFont val="Noto Sans CJK SC"/>
        <family val="2"/>
      </rPr>
      <t xml:space="preserve">장비 슬롯 </t>
    </r>
    <r>
      <rPr>
        <b val="true"/>
        <sz val="11"/>
        <color rgb="FFF4ECDD"/>
        <rFont val="맑은 고딕"/>
        <family val="0"/>
        <charset val="1"/>
      </rPr>
      <t xml:space="preserve">(13 </t>
    </r>
    <r>
      <rPr>
        <b val="true"/>
        <sz val="11"/>
        <color rgb="FFF4ECDD"/>
        <rFont val="Noto Sans CJK SC"/>
        <family val="2"/>
      </rPr>
      <t xml:space="preserve">슬롯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</si>
  <si>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슬롯</t>
  </si>
  <si>
    <t xml:space="preserve">장착 아이템 타입</t>
  </si>
  <si>
    <t xml:space="preserve">권장 핵심 옵션</t>
  </si>
  <si>
    <t xml:space="preserve">투구</t>
  </si>
  <si>
    <t xml:space="preserve">Helm</t>
  </si>
  <si>
    <t xml:space="preserve">방어구</t>
  </si>
  <si>
    <t xml:space="preserve">주스탯 · 치명타확률 · 소켓</t>
  </si>
  <si>
    <t xml:space="preserve">어깨</t>
  </si>
  <si>
    <t xml:space="preserve">Shoulders</t>
  </si>
  <si>
    <t xml:space="preserve">주스탯 · 활력 · 자원회복</t>
  </si>
  <si>
    <t xml:space="preserve">목걸이</t>
  </si>
  <si>
    <t xml:space="preserve">Amulet</t>
  </si>
  <si>
    <t xml:space="preserve">장신구</t>
  </si>
  <si>
    <t xml:space="preserve">치명타확률 · 치명타피해 · 원소피해</t>
  </si>
  <si>
    <t xml:space="preserve">갑옷</t>
  </si>
  <si>
    <t xml:space="preserve">Chest</t>
  </si>
  <si>
    <t xml:space="preserve">주스탯 · 활력 · 소켓 3</t>
  </si>
  <si>
    <t xml:space="preserve">장갑</t>
  </si>
  <si>
    <t xml:space="preserve">Gloves</t>
  </si>
  <si>
    <t xml:space="preserve">치명타확률 · 치명타피해 · 공격속도</t>
  </si>
  <si>
    <t xml:space="preserve">팔찌</t>
  </si>
  <si>
    <t xml:space="preserve">Bracers</t>
  </si>
  <si>
    <t xml:space="preserve">치명타확률 · 원소피해%</t>
  </si>
  <si>
    <t xml:space="preserve">벨트</t>
  </si>
  <si>
    <t xml:space="preserve">Belt</t>
  </si>
  <si>
    <t xml:space="preserve">주스탯 · 활력 · 생명력%</t>
  </si>
  <si>
    <t xml:space="preserve">바지</t>
  </si>
  <si>
    <t xml:space="preserve">Pants</t>
  </si>
  <si>
    <t xml:space="preserve">주스탯 · 활력 · 소켓 2</t>
  </si>
  <si>
    <t xml:space="preserve">신발</t>
  </si>
  <si>
    <t xml:space="preserve">Boots</t>
  </si>
  <si>
    <t xml:space="preserve">주스탯 · 활력 · 이동속도</t>
  </si>
  <si>
    <t xml:space="preserve">반지 1</t>
  </si>
  <si>
    <t xml:space="preserve">Ring</t>
  </si>
  <si>
    <t xml:space="preserve">반지 2</t>
  </si>
  <si>
    <t xml:space="preserve">치명타확률 · 치명타피해 · 소켓</t>
  </si>
  <si>
    <t xml:space="preserve">주무기</t>
  </si>
  <si>
    <t xml:space="preserve">Main Hand</t>
  </si>
  <si>
    <t xml:space="preserve">무기</t>
  </si>
  <si>
    <t xml:space="preserve">무기데미지 · 주스탯 · 소켓</t>
  </si>
  <si>
    <t xml:space="preserve">보조무기</t>
  </si>
  <si>
    <t xml:space="preserve">Off Hand</t>
  </si>
  <si>
    <t xml:space="preserve">무기/방패/원천</t>
  </si>
  <si>
    <t xml:space="preserve">공격속도 · 치명타 · 방어(방패)</t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</si>
  <si>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장신구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목걸이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반지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는 치명타확률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치명타피해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원소피해를 가장 높은 값으로 굴릴 수 있는 슬롯이라 빌드의 핵심입니다</t>
    </r>
    <r>
      <rPr>
        <sz val="9"/>
        <color rgb="FF8A6D3B"/>
        <rFont val="맑은 고딕"/>
        <family val="0"/>
        <charset val="1"/>
      </rPr>
      <t xml:space="preserve">.</t>
    </r>
  </si>
  <si>
    <t xml:space="preserve">⚠️ 사이드이펙트  무기 교체 시 무기데미지가 통째로 바뀌므로 시트DPS가 급변합니다. 장비 비교 UI는 '교체 전후 DPS/Toughness 델타'를 보여줘야 합니다.</t>
  </si>
  <si>
    <r>
      <rPr>
        <b val="true"/>
        <sz val="16"/>
        <color rgb="FFC8A24B"/>
        <rFont val="맑은 고딕"/>
        <family val="0"/>
        <charset val="1"/>
      </rPr>
      <t xml:space="preserve">5. </t>
    </r>
    <r>
      <rPr>
        <b val="true"/>
        <sz val="16"/>
        <color rgb="FFC8A24B"/>
        <rFont val="Noto Sans CJK SC"/>
        <family val="2"/>
      </rPr>
      <t xml:space="preserve">인벤토리 시스템</t>
    </r>
  </si>
  <si>
    <t xml:space="preserve">그리드 인벤토리 · 아이템 점유 크기 · 스택 규칙</t>
  </si>
  <si>
    <r>
      <rPr>
        <b val="true"/>
        <sz val="11"/>
        <color rgb="FFF4ECDD"/>
        <rFont val="맑은 고딕"/>
        <family val="0"/>
        <charset val="1"/>
      </rPr>
      <t xml:space="preserve">5-1. </t>
    </r>
    <r>
      <rPr>
        <b val="true"/>
        <sz val="11"/>
        <color rgb="FFF4ECDD"/>
        <rFont val="Noto Sans CJK SC"/>
        <family val="2"/>
      </rPr>
      <t xml:space="preserve">인벤토리 그리드 규격</t>
    </r>
  </si>
  <si>
    <t xml:space="preserve">가로 칸 수</t>
  </si>
  <si>
    <t xml:space="preserve">칸</t>
  </si>
  <si>
    <t xml:space="preserve">그리드 열(column)</t>
  </si>
  <si>
    <t xml:space="preserve">세로 칸 수</t>
  </si>
  <si>
    <t xml:space="preserve">그리드 행(row)</t>
  </si>
  <si>
    <t xml:space="preserve">골드 보관</t>
  </si>
  <si>
    <t xml:space="preserve">무제한</t>
  </si>
  <si>
    <t xml:space="preserve">-</t>
  </si>
  <si>
    <t xml:space="preserve">별도 통화 슬롯</t>
  </si>
  <si>
    <t xml:space="preserve">총 슬롯 수</t>
  </si>
  <si>
    <t xml:space="preserve">가로 × 세로</t>
  </si>
  <si>
    <r>
      <rPr>
        <b val="true"/>
        <sz val="11"/>
        <color rgb="FFF4ECDD"/>
        <rFont val="맑은 고딕"/>
        <family val="0"/>
        <charset val="1"/>
      </rPr>
      <t xml:space="preserve">5-2. </t>
    </r>
    <r>
      <rPr>
        <b val="true"/>
        <sz val="11"/>
        <color rgb="FFF4ECDD"/>
        <rFont val="Noto Sans CJK SC"/>
        <family val="2"/>
      </rPr>
      <t xml:space="preserve">아이템 점유 크기</t>
    </r>
  </si>
  <si>
    <t xml:space="preserve">아이템 타입</t>
  </si>
  <si>
    <t xml:space="preserve">점유 크기</t>
  </si>
  <si>
    <t xml:space="preserve">칸 수</t>
  </si>
  <si>
    <t xml:space="preserve">반지 · 목걸이 · 보석</t>
  </si>
  <si>
    <t xml:space="preserve">1 × 1</t>
  </si>
  <si>
    <t xml:space="preserve">소형</t>
  </si>
  <si>
    <t xml:space="preserve">장갑 · 신발 · 벨트 · 팔찌 · 어깨</t>
  </si>
  <si>
    <t xml:space="preserve">1 × 2</t>
  </si>
  <si>
    <t xml:space="preserve">중형</t>
  </si>
  <si>
    <t xml:space="preserve">투구 · 한손무기 · 방패 · 원천</t>
  </si>
  <si>
    <t xml:space="preserve">2 × 2</t>
  </si>
  <si>
    <t xml:space="preserve">대형</t>
  </si>
  <si>
    <t xml:space="preserve">갑옷 · 바지 · 양손무기</t>
  </si>
  <si>
    <t xml:space="preserve">2 × 3</t>
  </si>
  <si>
    <t xml:space="preserve">특대형</t>
  </si>
  <si>
    <t xml:space="preserve">물약 · 재료(스택)</t>
  </si>
  <si>
    <t xml:space="preserve">스택 가능</t>
  </si>
  <si>
    <r>
      <rPr>
        <b val="true"/>
        <sz val="11"/>
        <color rgb="FFF4ECDD"/>
        <rFont val="맑은 고딕"/>
        <family val="0"/>
        <charset val="1"/>
      </rPr>
      <t xml:space="preserve">5-3. </t>
    </r>
    <r>
      <rPr>
        <b val="true"/>
        <sz val="11"/>
        <color rgb="FFF4ECDD"/>
        <rFont val="Noto Sans CJK SC"/>
        <family val="2"/>
      </rPr>
      <t xml:space="preserve">스택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중첩</t>
    </r>
    <r>
      <rPr>
        <b val="true"/>
        <sz val="11"/>
        <color rgb="FFF4ECDD"/>
        <rFont val="맑은 고딕"/>
        <family val="0"/>
        <charset val="1"/>
      </rPr>
      <t xml:space="preserve">) </t>
    </r>
    <r>
      <rPr>
        <b val="true"/>
        <sz val="11"/>
        <color rgb="FFF4ECDD"/>
        <rFont val="Noto Sans CJK SC"/>
        <family val="2"/>
      </rPr>
      <t xml:space="preserve">규칙</t>
    </r>
  </si>
  <si>
    <t xml:space="preserve">아이템 분류</t>
  </si>
  <si>
    <t xml:space="preserve">최대 스택</t>
  </si>
  <si>
    <t xml:space="preserve">장비(무기/방어구/장신구)</t>
  </si>
  <si>
    <t xml:space="preserve">불가</t>
  </si>
  <si>
    <t xml:space="preserve">개별 점유</t>
  </si>
  <si>
    <t xml:space="preserve">소비 물약</t>
  </si>
  <si>
    <t xml:space="preserve">가능</t>
  </si>
  <si>
    <t xml:space="preserve">99</t>
  </si>
  <si>
    <t xml:space="preserve">동일 등급만 합쳐짐</t>
  </si>
  <si>
    <t xml:space="preserve">제작 재료</t>
  </si>
  <si>
    <t xml:space="preserve">9,999</t>
  </si>
  <si>
    <t xml:space="preserve">별도 재료 보관함 권장</t>
  </si>
  <si>
    <t xml:space="preserve">화폐(골드)</t>
  </si>
  <si>
    <t xml:space="preserve">그리드 비점유</t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</si>
  <si>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점유 크기가 다르면 인벤토리 정렬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자동 줍기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정렬</t>
    </r>
    <r>
      <rPr>
        <sz val="9"/>
        <color rgb="FF8A6D3B"/>
        <rFont val="맑은 고딕"/>
        <family val="0"/>
        <charset val="1"/>
      </rPr>
      <t xml:space="preserve">) </t>
    </r>
    <r>
      <rPr>
        <sz val="9"/>
        <color rgb="FF8A6D3B"/>
        <rFont val="Noto Sans CJK SC"/>
        <family val="2"/>
      </rPr>
      <t xml:space="preserve">알고리즘이 복잡해집니다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초기 개발엔 전부 </t>
    </r>
    <r>
      <rPr>
        <sz val="9"/>
        <color rgb="FF8A6D3B"/>
        <rFont val="맑은 고딕"/>
        <family val="0"/>
        <charset val="1"/>
      </rPr>
      <t xml:space="preserve">1×1 </t>
    </r>
    <r>
      <rPr>
        <sz val="9"/>
        <color rgb="FF8A6D3B"/>
        <rFont val="Noto Sans CJK SC"/>
        <family val="2"/>
      </rPr>
      <t xml:space="preserve">단순 그리드로 시작하고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안정화 후 가변크기를 도입하는 것을 권장합니다</t>
    </r>
    <r>
      <rPr>
        <sz val="9"/>
        <color rgb="FF8A6D3B"/>
        <rFont val="맑은 고딕"/>
        <family val="0"/>
        <charset val="1"/>
      </rPr>
      <t xml:space="preserve">.</t>
    </r>
  </si>
  <si>
    <t xml:space="preserve">⚠️ 사이드이펙트  스택 최대치를 넘는 재료는 새 스택을 생성합니다. 자동 합치기 로직에서 초과분 처리 누락 시 아이템 증발 버그가 발생할 수 있습니다.</t>
  </si>
  <si>
    <r>
      <rPr>
        <b val="true"/>
        <sz val="16"/>
        <color rgb="FFC8A24B"/>
        <rFont val="맑은 고딕"/>
        <family val="0"/>
        <charset val="1"/>
      </rPr>
      <t xml:space="preserve">6. </t>
    </r>
    <r>
      <rPr>
        <b val="true"/>
        <sz val="16"/>
        <color rgb="FFC8A24B"/>
        <rFont val="Noto Sans CJK SC"/>
        <family val="2"/>
      </rPr>
      <t xml:space="preserve">아이템 등급 </t>
    </r>
    <r>
      <rPr>
        <b val="true"/>
        <sz val="16"/>
        <color rgb="FFC8A24B"/>
        <rFont val="맑은 고딕"/>
        <family val="0"/>
        <charset val="1"/>
      </rPr>
      <t xml:space="preserve">(Rarity)</t>
    </r>
  </si>
  <si>
    <t xml:space="preserve">등급별 색상 · 접사 수 · 드롭 확률 · 특징 (Diablo III 기준)</t>
  </si>
  <si>
    <r>
      <rPr>
        <b val="true"/>
        <sz val="11"/>
        <color rgb="FFF4ECDD"/>
        <rFont val="맑은 고딕"/>
        <family val="0"/>
        <charset val="1"/>
      </rPr>
      <t xml:space="preserve">6-1. </t>
    </r>
    <r>
      <rPr>
        <b val="true"/>
        <sz val="11"/>
        <color rgb="FFF4ECDD"/>
        <rFont val="Noto Sans CJK SC"/>
        <family val="2"/>
      </rPr>
      <t xml:space="preserve">등급 체계</t>
    </r>
  </si>
  <si>
    <t xml:space="preserve">등급</t>
  </si>
  <si>
    <t xml:space="preserve">색상</t>
  </si>
  <si>
    <t xml:space="preserve">접사 수</t>
  </si>
  <si>
    <t xml:space="preserve">기준 드롭률</t>
  </si>
  <si>
    <t xml:space="preserve">특징</t>
  </si>
  <si>
    <t xml:space="preserve">일반</t>
  </si>
  <si>
    <t xml:space="preserve">Normal</t>
  </si>
  <si>
    <t xml:space="preserve">흰색</t>
  </si>
  <si>
    <t xml:space="preserve">0</t>
  </si>
  <si>
    <t xml:space="preserve">60%</t>
  </si>
  <si>
    <t xml:space="preserve">옵션 없음. 기본 베이스 아이템</t>
  </si>
  <si>
    <t xml:space="preserve">마법</t>
  </si>
  <si>
    <t xml:space="preserve">Magic</t>
  </si>
  <si>
    <t xml:space="preserve">파란색</t>
  </si>
  <si>
    <t xml:space="preserve">1 ~ 3</t>
  </si>
  <si>
    <t xml:space="preserve">25%</t>
  </si>
  <si>
    <t xml:space="preserve">접두/접미 소수 옵션</t>
  </si>
  <si>
    <t xml:space="preserve">희귀</t>
  </si>
  <si>
    <t xml:space="preserve">Rare</t>
  </si>
  <si>
    <t xml:space="preserve">노란색</t>
  </si>
  <si>
    <t xml:space="preserve">4 ~ 6</t>
  </si>
  <si>
    <t xml:space="preserve">12%</t>
  </si>
  <si>
    <t xml:space="preserve">다양한 랜덤 옵션 조합</t>
  </si>
  <si>
    <t xml:space="preserve">전설</t>
  </si>
  <si>
    <t xml:space="preserve">Legendary</t>
  </si>
  <si>
    <t xml:space="preserve">주황색</t>
  </si>
  <si>
    <t xml:space="preserve">고정+랜덤</t>
  </si>
  <si>
    <t xml:space="preserve">2.5%</t>
  </si>
  <si>
    <t xml:space="preserve">고유 전설 효과 보유</t>
  </si>
  <si>
    <t xml:space="preserve">세트</t>
  </si>
  <si>
    <t xml:space="preserve">Set</t>
  </si>
  <si>
    <t xml:space="preserve">초록색</t>
  </si>
  <si>
    <t xml:space="preserve">고정+세트</t>
  </si>
  <si>
    <t xml:space="preserve">0.4%</t>
  </si>
  <si>
    <t xml:space="preserve">세트 부위 수 보너스</t>
  </si>
  <si>
    <t xml:space="preserve">고대</t>
  </si>
  <si>
    <t xml:space="preserve">Ancient</t>
  </si>
  <si>
    <t xml:space="preserve">진한주황</t>
  </si>
  <si>
    <t xml:space="preserve">전설+30%상한</t>
  </si>
  <si>
    <t xml:space="preserve">0.1%</t>
  </si>
  <si>
    <t xml:space="preserve">전설의 강화판(스탯 상한↑)</t>
  </si>
  <si>
    <t xml:space="preserve">태초</t>
  </si>
  <si>
    <t xml:space="preserve">Primal Ancient</t>
  </si>
  <si>
    <t xml:space="preserve">빨강</t>
  </si>
  <si>
    <t xml:space="preserve">전설+최대값</t>
  </si>
  <si>
    <t xml:space="preserve">0.01%</t>
  </si>
  <si>
    <t xml:space="preserve">모든 옵션 최대값 고정</t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</si>
  <si>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드롭률은 입력값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밸런싱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이며 합이 </t>
    </r>
    <r>
      <rPr>
        <sz val="9"/>
        <color rgb="FF8A6D3B"/>
        <rFont val="맑은 고딕"/>
        <family val="0"/>
        <charset val="1"/>
      </rPr>
      <t xml:space="preserve">100%</t>
    </r>
    <r>
      <rPr>
        <sz val="9"/>
        <color rgb="FF8A6D3B"/>
        <rFont val="Noto Sans CJK SC"/>
        <family val="2"/>
      </rPr>
      <t xml:space="preserve">가 되도록 설계했습니다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전설↓ 등급일수록 희소성을 급격히 낮춰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득템 쾌감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을 설계하세요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</si>
  <si>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</t>
    </r>
    <r>
      <rPr>
        <sz val="9"/>
        <color rgb="FF8A6D3B"/>
        <rFont val="Noto Sans CJK SC"/>
        <family val="2"/>
      </rPr>
      <t xml:space="preserve">는 만렙 이후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전설 위주</t>
    </r>
    <r>
      <rPr>
        <sz val="9"/>
        <color rgb="FF8A6D3B"/>
        <rFont val="맑은 고딕"/>
        <family val="0"/>
        <charset val="1"/>
      </rPr>
      <t xml:space="preserve">' </t>
    </r>
    <r>
      <rPr>
        <sz val="9"/>
        <color rgb="FF8A6D3B"/>
        <rFont val="Noto Sans CJK SC"/>
        <family val="2"/>
      </rPr>
      <t xml:space="preserve">파밍으로 전환됩니다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고대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태초는 전설의 상위 롤 버전으로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신규 아이템이 아니라 같은 아이템의 스탯 상한만 올라갑니다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</si>
  <si>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1"/>
        <color rgb="FFF4ECDD"/>
        <rFont val="맑은 고딕"/>
        <family val="0"/>
        <charset val="1"/>
      </rPr>
      <t xml:space="preserve">6-2. </t>
    </r>
    <r>
      <rPr>
        <b val="true"/>
        <sz val="11"/>
        <color rgb="FFF4ECDD"/>
        <rFont val="Noto Sans CJK SC"/>
        <family val="2"/>
      </rPr>
      <t xml:space="preserve">등급별 스탯 배율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상한 계수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</si>
  <si>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스탯 상한 배율</t>
  </si>
  <si>
    <t xml:space="preserve">예: 주스탯 상한</t>
  </si>
  <si>
    <t xml:space="preserve">예시 적용</t>
  </si>
  <si>
    <t xml:space="preserve">기준 주스탯 상한 × 배율</t>
  </si>
  <si>
    <t xml:space="preserve">기준 주스탯 상한</t>
  </si>
  <si>
    <t xml:space="preserve">입력값 (전설 1.0배 기준)</t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</si>
  <si>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고대</t>
    </r>
    <r>
      <rPr>
        <sz val="9"/>
        <color rgb="FF8A6D3B"/>
        <rFont val="맑은 고딕"/>
        <family val="0"/>
        <charset val="1"/>
      </rPr>
      <t xml:space="preserve">(1.3</t>
    </r>
    <r>
      <rPr>
        <sz val="9"/>
        <color rgb="FF8A6D3B"/>
        <rFont val="Noto Sans CJK SC"/>
        <family val="2"/>
      </rPr>
      <t xml:space="preserve">배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는 전설 대비 </t>
    </r>
    <r>
      <rPr>
        <sz val="9"/>
        <color rgb="FF8A6D3B"/>
        <rFont val="맑은 고딕"/>
        <family val="0"/>
        <charset val="1"/>
      </rPr>
      <t xml:space="preserve">+30% </t>
    </r>
    <r>
      <rPr>
        <sz val="9"/>
        <color rgb="FF8A6D3B"/>
        <rFont val="Noto Sans CJK SC"/>
        <family val="2"/>
      </rPr>
      <t xml:space="preserve">상한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같은 전설 아이템이라도 고대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태초 여부에 따라 실효 성능이 크게 벌어지므로 엔드게임 파밍 동기가 됩니다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</si>
  <si>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6"/>
        <color rgb="FFC8A24B"/>
        <rFont val="맑은 고딕"/>
        <family val="0"/>
        <charset val="1"/>
      </rPr>
      <t xml:space="preserve">7. </t>
    </r>
    <r>
      <rPr>
        <b val="true"/>
        <sz val="16"/>
        <color rgb="FFC8A24B"/>
        <rFont val="Noto Sans CJK SC"/>
        <family val="2"/>
      </rPr>
      <t xml:space="preserve">아이템 레벨 </t>
    </r>
    <r>
      <rPr>
        <b val="true"/>
        <sz val="16"/>
        <color rgb="FFC8A24B"/>
        <rFont val="맑은 고딕"/>
        <family val="0"/>
        <charset val="1"/>
      </rPr>
      <t xml:space="preserve">· </t>
    </r>
    <r>
      <rPr>
        <b val="true"/>
        <sz val="16"/>
        <color rgb="FFC8A24B"/>
        <rFont val="Noto Sans CJK SC"/>
        <family val="2"/>
      </rPr>
      <t xml:space="preserve">요구 레벨</t>
    </r>
  </si>
  <si>
    <t xml:space="preserve">아이템레벨(iLvl) 정의 · 요구레벨 공식 · 직업 제한</t>
  </si>
  <si>
    <r>
      <rPr>
        <b val="true"/>
        <sz val="11"/>
        <color rgb="FFF4ECDD"/>
        <rFont val="맑은 고딕"/>
        <family val="0"/>
        <charset val="1"/>
      </rPr>
      <t xml:space="preserve">7-1. </t>
    </r>
    <r>
      <rPr>
        <b val="true"/>
        <sz val="11"/>
        <color rgb="FFF4ECDD"/>
        <rFont val="Noto Sans CJK SC"/>
        <family val="2"/>
      </rPr>
      <t xml:space="preserve">핵심 개념</t>
    </r>
  </si>
  <si>
    <t xml:space="preserve">용어</t>
  </si>
  <si>
    <t xml:space="preserve">아이템 레벨 (iLvl)</t>
  </si>
  <si>
    <t xml:space="preserve">아이템의 내부 등급. 굴릴 수 있는 접사 종류·값 범위를 결정. 보통 드롭한 몬스터/지역 레벨로 결정</t>
  </si>
  <si>
    <t xml:space="preserve">요구 레벨 (rLvl)</t>
  </si>
  <si>
    <t xml:space="preserve">장착에 필요한 캐릭터 레벨. iLvl에서 일정값을 뺀 값</t>
  </si>
  <si>
    <t xml:space="preserve">직업 제한</t>
  </si>
  <si>
    <t xml:space="preserve">무기/방어구 일부는 특정 직업만 장착 가능 (예: 만돌 - 부두술사)</t>
  </si>
  <si>
    <r>
      <rPr>
        <b val="true"/>
        <sz val="11"/>
        <color rgb="FFF4ECDD"/>
        <rFont val="맑은 고딕"/>
        <family val="0"/>
        <charset val="1"/>
      </rPr>
      <t xml:space="preserve">7-2. </t>
    </r>
    <r>
      <rPr>
        <b val="true"/>
        <sz val="11"/>
        <color rgb="FFF4ECDD"/>
        <rFont val="Noto Sans CJK SC"/>
        <family val="2"/>
      </rPr>
      <t xml:space="preserve">요구레벨 계산기</t>
    </r>
  </si>
  <si>
    <t xml:space="preserve">입력</t>
  </si>
  <si>
    <t xml:space="preserve">계산 결과</t>
  </si>
  <si>
    <t xml:space="preserve">아이템 레벨(iLvl)</t>
  </si>
  <si>
    <t xml:space="preserve">요구 레벨</t>
  </si>
  <si>
    <r>
      <rPr>
        <sz val="10"/>
        <color rgb="FF000000"/>
        <rFont val="맑은 고딕"/>
        <family val="0"/>
        <charset val="1"/>
      </rPr>
      <t xml:space="preserve">MAX(1, MIN(iLvl-</t>
    </r>
    <r>
      <rPr>
        <sz val="10"/>
        <color rgb="FF000000"/>
        <rFont val="Noto Sans CJK SC"/>
        <family val="2"/>
      </rPr>
      <t xml:space="preserve">오프셋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최대레벨</t>
    </r>
    <r>
      <rPr>
        <sz val="10"/>
        <color rgb="FF000000"/>
        <rFont val="맑은 고딕"/>
        <family val="0"/>
        <charset val="1"/>
      </rPr>
      <t xml:space="preserve">))</t>
    </r>
  </si>
  <si>
    <t xml:space="preserve">캐릭터 최대레벨</t>
  </si>
  <si>
    <t xml:space="preserve">요구레벨 오프셋</t>
  </si>
  <si>
    <r>
      <rPr>
        <sz val="10"/>
        <color rgb="FF000000"/>
        <rFont val="맑은 고딕"/>
        <family val="0"/>
        <charset val="1"/>
      </rPr>
      <t xml:space="preserve">iLvl - rLvl </t>
    </r>
    <r>
      <rPr>
        <sz val="10"/>
        <color rgb="FF000000"/>
        <rFont val="Noto Sans CJK SC"/>
        <family val="2"/>
      </rPr>
      <t xml:space="preserve">차이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입력값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</si>
  <si>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🔆 중요  요구레벨 = MAX(1, MIN(iLvl - 오프셋, 최대레벨)). 만렙(70)을 넘는 요구레벨이 나오지 않도록 상한을 둡니다.</t>
  </si>
  <si>
    <r>
      <rPr>
        <b val="true"/>
        <sz val="11"/>
        <color rgb="FFF4ECDD"/>
        <rFont val="맑은 고딕"/>
        <family val="0"/>
        <charset val="1"/>
      </rPr>
      <t xml:space="preserve">7-3. iLvl </t>
    </r>
    <r>
      <rPr>
        <b val="true"/>
        <sz val="11"/>
        <color rgb="FFF4ECDD"/>
        <rFont val="Noto Sans CJK SC"/>
        <family val="2"/>
      </rPr>
      <t xml:space="preserve">구간별 접사 값 범위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예</t>
    </r>
    <r>
      <rPr>
        <b val="true"/>
        <sz val="11"/>
        <color rgb="FFF4ECDD"/>
        <rFont val="맑은 고딕"/>
        <family val="0"/>
        <charset val="1"/>
      </rPr>
      <t xml:space="preserve">: </t>
    </r>
    <r>
      <rPr>
        <b val="true"/>
        <sz val="11"/>
        <color rgb="FFF4ECDD"/>
        <rFont val="Noto Sans CJK SC"/>
        <family val="2"/>
      </rPr>
      <t xml:space="preserve">주스탯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</si>
  <si>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r>
      <rPr>
        <b val="true"/>
        <sz val="10"/>
        <color rgb="FFF4ECDD"/>
        <rFont val="맑은 고딕"/>
        <family val="0"/>
        <charset val="1"/>
      </rPr>
      <t xml:space="preserve">iLvl </t>
    </r>
    <r>
      <rPr>
        <b val="true"/>
        <sz val="10"/>
        <color rgb="FFF4ECDD"/>
        <rFont val="Noto Sans CJK SC"/>
        <family val="2"/>
      </rPr>
      <t xml:space="preserve">구간</t>
    </r>
  </si>
  <si>
    <t xml:space="preserve">요구레벨</t>
  </si>
  <si>
    <t xml:space="preserve">주스탯 최소</t>
  </si>
  <si>
    <t xml:space="preserve">주스탯 최대</t>
  </si>
  <si>
    <t xml:space="preserve">드롭 지역(예)</t>
  </si>
  <si>
    <t xml:space="preserve">1 ~ 10</t>
  </si>
  <si>
    <t xml:space="preserve">1 ~ 7</t>
  </si>
  <si>
    <t xml:space="preserve">튜토리얼/초반</t>
  </si>
  <si>
    <t xml:space="preserve">11 ~ 30</t>
  </si>
  <si>
    <t xml:space="preserve">8 ~ 27</t>
  </si>
  <si>
    <t xml:space="preserve">액트1~2</t>
  </si>
  <si>
    <t xml:space="preserve">31 ~ 50</t>
  </si>
  <si>
    <t xml:space="preserve">28 ~ 47</t>
  </si>
  <si>
    <t xml:space="preserve">액트3~4</t>
  </si>
  <si>
    <t xml:space="preserve">51 ~ 69</t>
  </si>
  <si>
    <t xml:space="preserve">48 ~ 66</t>
  </si>
  <si>
    <t xml:space="preserve">액트5/고난도</t>
  </si>
  <si>
    <r>
      <rPr>
        <b val="true"/>
        <sz val="10"/>
        <color rgb="FF000000"/>
        <rFont val="맑은 고딕"/>
        <family val="0"/>
        <charset val="1"/>
      </rPr>
      <t xml:space="preserve">70 (</t>
    </r>
    <r>
      <rPr>
        <b val="true"/>
        <sz val="10"/>
        <color rgb="FF000000"/>
        <rFont val="Noto Sans CJK SC"/>
        <family val="2"/>
      </rPr>
      <t xml:space="preserve">만렙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</si>
  <si>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67</t>
  </si>
  <si>
    <t xml:space="preserve">엔드게임/균열</t>
  </si>
  <si>
    <r>
      <rPr>
        <b val="true"/>
        <sz val="11"/>
        <color rgb="FFF4ECDD"/>
        <rFont val="맑은 고딕"/>
        <family val="0"/>
        <charset val="1"/>
      </rPr>
      <t xml:space="preserve">7-4. </t>
    </r>
    <r>
      <rPr>
        <b val="true"/>
        <sz val="11"/>
        <color rgb="FFF4ECDD"/>
        <rFont val="Noto Sans CJK SC"/>
        <family val="2"/>
      </rPr>
      <t xml:space="preserve">직업 제한 아이템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예시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</si>
  <si>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전용 직업</t>
  </si>
  <si>
    <t xml:space="preserve">몽크 권갑(주먹무기)</t>
  </si>
  <si>
    <t xml:space="preserve">부두 만돌(원천)</t>
  </si>
  <si>
    <t xml:space="preserve">마법사 원천(오브)</t>
  </si>
  <si>
    <t xml:space="preserve">악마사냥꾼 화살통</t>
  </si>
  <si>
    <t xml:space="preserve">성전사 크루세이더 방패</t>
  </si>
  <si>
    <t xml:space="preserve">바바리안 모헤르 창</t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</si>
  <si>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직업 전용 아이템은 해당 직업 주스탯이 고정 부여되는 경우가 많습니다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드롭 테이블에서 직업 가중치를 두면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내 직업 아이템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이 더 자주 나와 만족도가 올라갑니다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</si>
  <si>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6"/>
        <color rgb="FFC8A24B"/>
        <rFont val="맑은 고딕"/>
        <family val="0"/>
        <charset val="1"/>
      </rPr>
      <t xml:space="preserve">8. </t>
    </r>
    <r>
      <rPr>
        <b val="true"/>
        <sz val="16"/>
        <color rgb="FFC8A24B"/>
        <rFont val="Noto Sans CJK SC"/>
        <family val="2"/>
      </rPr>
      <t xml:space="preserve">아이템 접사 </t>
    </r>
    <r>
      <rPr>
        <b val="true"/>
        <sz val="16"/>
        <color rgb="FFC8A24B"/>
        <rFont val="맑은 고딕"/>
        <family val="0"/>
        <charset val="1"/>
      </rPr>
      <t xml:space="preserve">(Affix)</t>
    </r>
  </si>
  <si>
    <t xml:space="preserve">주(Primary)/부(Secondary) 접사 풀 · 만렙 값 범위 · 슬롯별 가능 옵션</t>
  </si>
  <si>
    <r>
      <rPr>
        <b val="true"/>
        <sz val="11"/>
        <color rgb="FFF4ECDD"/>
        <rFont val="맑은 고딕"/>
        <family val="0"/>
        <charset val="1"/>
      </rPr>
      <t xml:space="preserve">8-1. </t>
    </r>
    <r>
      <rPr>
        <b val="true"/>
        <sz val="11"/>
        <color rgb="FFF4ECDD"/>
        <rFont val="Noto Sans CJK SC"/>
        <family val="2"/>
      </rPr>
      <t xml:space="preserve">주 접사</t>
    </r>
    <r>
      <rPr>
        <b val="true"/>
        <sz val="11"/>
        <color rgb="FFF4ECDD"/>
        <rFont val="맑은 고딕"/>
        <family val="0"/>
        <charset val="1"/>
      </rPr>
      <t xml:space="preserve">(Primary) </t>
    </r>
    <r>
      <rPr>
        <b val="true"/>
        <sz val="11"/>
        <color rgb="FFF4ECDD"/>
        <rFont val="Noto Sans CJK SC"/>
        <family val="2"/>
      </rPr>
      <t xml:space="preserve">풀 — 만렙</t>
    </r>
    <r>
      <rPr>
        <b val="true"/>
        <sz val="11"/>
        <color rgb="FFF4ECDD"/>
        <rFont val="맑은 고딕"/>
        <family val="0"/>
        <charset val="1"/>
      </rPr>
      <t xml:space="preserve">70 </t>
    </r>
    <r>
      <rPr>
        <b val="true"/>
        <sz val="11"/>
        <color rgb="FFF4ECDD"/>
        <rFont val="Noto Sans CJK SC"/>
        <family val="2"/>
      </rPr>
      <t xml:space="preserve">기준</t>
    </r>
  </si>
  <si>
    <t xml:space="preserve">접사명</t>
  </si>
  <si>
    <t xml:space="preserve">최소값</t>
  </si>
  <si>
    <t xml:space="preserve">최대값</t>
  </si>
  <si>
    <t xml:space="preserve">가능 슬롯</t>
  </si>
  <si>
    <t xml:space="preserve">MainStat</t>
  </si>
  <si>
    <t xml:space="preserve">전 부위</t>
  </si>
  <si>
    <t xml:space="preserve">CHC</t>
  </si>
  <si>
    <t xml:space="preserve">투구/장갑/장신구/보조</t>
  </si>
  <si>
    <t xml:space="preserve">CHD</t>
  </si>
  <si>
    <t xml:space="preserve">장갑/장신구/보조</t>
  </si>
  <si>
    <t xml:space="preserve">공격 속도</t>
  </si>
  <si>
    <t xml:space="preserve">IAS</t>
  </si>
  <si>
    <t xml:space="preserve">장갑/반지/보조무기</t>
  </si>
  <si>
    <t xml:space="preserve">원소 피해%</t>
  </si>
  <si>
    <t xml:space="preserve">Elemental</t>
  </si>
  <si>
    <t xml:space="preserve">팔찌/목걸이</t>
  </si>
  <si>
    <t xml:space="preserve">스킬 피해%</t>
  </si>
  <si>
    <t xml:space="preserve">SkillDmg</t>
  </si>
  <si>
    <t xml:space="preserve">어깨/투구 등</t>
  </si>
  <si>
    <t xml:space="preserve">쿨다운 감소</t>
  </si>
  <si>
    <t xml:space="preserve">CDR</t>
  </si>
  <si>
    <t xml:space="preserve">투구/어깨/반지</t>
  </si>
  <si>
    <t xml:space="preserve">자원 소모 감소</t>
  </si>
  <si>
    <t xml:space="preserve">RCR</t>
  </si>
  <si>
    <t xml:space="preserve">어깨/반지</t>
  </si>
  <si>
    <r>
      <rPr>
        <b val="true"/>
        <sz val="11"/>
        <color rgb="FFF4ECDD"/>
        <rFont val="맑은 고딕"/>
        <family val="0"/>
        <charset val="1"/>
      </rPr>
      <t xml:space="preserve">8-2. </t>
    </r>
    <r>
      <rPr>
        <b val="true"/>
        <sz val="11"/>
        <color rgb="FFF4ECDD"/>
        <rFont val="Noto Sans CJK SC"/>
        <family val="2"/>
      </rPr>
      <t xml:space="preserve">부 접사</t>
    </r>
    <r>
      <rPr>
        <b val="true"/>
        <sz val="11"/>
        <color rgb="FFF4ECDD"/>
        <rFont val="맑은 고딕"/>
        <family val="0"/>
        <charset val="1"/>
      </rPr>
      <t xml:space="preserve">(Secondary) </t>
    </r>
    <r>
      <rPr>
        <b val="true"/>
        <sz val="11"/>
        <color rgb="FFF4ECDD"/>
        <rFont val="Noto Sans CJK SC"/>
        <family val="2"/>
      </rPr>
      <t xml:space="preserve">풀</t>
    </r>
  </si>
  <si>
    <t xml:space="preserve">효과</t>
  </si>
  <si>
    <t xml:space="preserve">전 저항</t>
  </si>
  <si>
    <t xml:space="preserve">AllRes</t>
  </si>
  <si>
    <t xml:space="preserve">받는 피해 감소</t>
  </si>
  <si>
    <t xml:space="preserve">생명력 재생</t>
  </si>
  <si>
    <t xml:space="preserve">LifeRegen</t>
  </si>
  <si>
    <t xml:space="preserve">/s</t>
  </si>
  <si>
    <t xml:space="preserve">초당 회복</t>
  </si>
  <si>
    <t xml:space="preserve">이동 속도</t>
  </si>
  <si>
    <t xml:space="preserve">MoveSpeed</t>
  </si>
  <si>
    <t xml:space="preserve">신발 전용</t>
  </si>
  <si>
    <t xml:space="preserve">골드 획득</t>
  </si>
  <si>
    <t xml:space="preserve">GoldFind</t>
  </si>
  <si>
    <t xml:space="preserve">파밍 효율</t>
  </si>
  <si>
    <t xml:space="preserve">처치시 생명력</t>
  </si>
  <si>
    <t xml:space="preserve">LoK</t>
  </si>
  <si>
    <t xml:space="preserve">흡혈형</t>
  </si>
  <si>
    <t xml:space="preserve">군중제어 감소</t>
  </si>
  <si>
    <t xml:space="preserve">CCReduce</t>
  </si>
  <si>
    <t xml:space="preserve">상태이상 저항</t>
  </si>
  <si>
    <t xml:space="preserve">가시 피해(쏜즈)</t>
  </si>
  <si>
    <t xml:space="preserve">Thorns</t>
  </si>
  <si>
    <t xml:space="preserve">반사 피해</t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</si>
  <si>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규칙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주 접사</t>
    </r>
    <r>
      <rPr>
        <sz val="9"/>
        <color rgb="FF8A6D3B"/>
        <rFont val="맑은 고딕"/>
        <family val="0"/>
        <charset val="1"/>
      </rPr>
      <t xml:space="preserve">(Primary)</t>
    </r>
    <r>
      <rPr>
        <sz val="9"/>
        <color rgb="FF8A6D3B"/>
        <rFont val="Noto Sans CJK SC"/>
        <family val="2"/>
      </rPr>
      <t xml:space="preserve">는 전투력 직결 옵션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부 접사</t>
    </r>
    <r>
      <rPr>
        <sz val="9"/>
        <color rgb="FF8A6D3B"/>
        <rFont val="맑은 고딕"/>
        <family val="0"/>
        <charset val="1"/>
      </rPr>
      <t xml:space="preserve">(Secondary)</t>
    </r>
    <r>
      <rPr>
        <sz val="9"/>
        <color rgb="FF8A6D3B"/>
        <rFont val="Noto Sans CJK SC"/>
        <family val="2"/>
      </rPr>
      <t xml:space="preserve">는 유틸 옵션으로 분리됩니다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한 아이템은 주 접사 최대 </t>
    </r>
    <r>
      <rPr>
        <sz val="9"/>
        <color rgb="FF8A6D3B"/>
        <rFont val="맑은 고딕"/>
        <family val="0"/>
        <charset val="1"/>
      </rPr>
      <t xml:space="preserve">4</t>
    </r>
    <r>
      <rPr>
        <sz val="9"/>
        <color rgb="FF8A6D3B"/>
        <rFont val="Noto Sans CJK SC"/>
        <family val="2"/>
      </rPr>
      <t xml:space="preserve">개 </t>
    </r>
    <r>
      <rPr>
        <sz val="9"/>
        <color rgb="FF8A6D3B"/>
        <rFont val="맑은 고딕"/>
        <family val="0"/>
        <charset val="1"/>
      </rPr>
      <t xml:space="preserve">+ </t>
    </r>
    <r>
      <rPr>
        <sz val="9"/>
        <color rgb="FF8A6D3B"/>
        <rFont val="Noto Sans CJK SC"/>
        <family val="2"/>
      </rPr>
      <t xml:space="preserve">부 접사 </t>
    </r>
    <r>
      <rPr>
        <sz val="9"/>
        <color rgb="FF8A6D3B"/>
        <rFont val="맑은 고딕"/>
        <family val="0"/>
        <charset val="1"/>
      </rPr>
      <t xml:space="preserve">2</t>
    </r>
    <r>
      <rPr>
        <sz val="9"/>
        <color rgb="FF8A6D3B"/>
        <rFont val="Noto Sans CJK SC"/>
        <family val="2"/>
      </rPr>
      <t xml:space="preserve">개 구조가 표준입니다</t>
    </r>
    <r>
      <rPr>
        <sz val="9"/>
        <color rgb="FF8A6D3B"/>
        <rFont val="맑은 고딕"/>
        <family val="0"/>
        <charset val="1"/>
      </rPr>
      <t xml:space="preserve">.</t>
    </r>
  </si>
  <si>
    <t xml:space="preserve">⚠️ 사이드이펙트  치명타확률(CHC)은 슬롯당 최대 6%로 제한됩니다. 상한을 안 두면 100% 치명타가 쉽게 나와 데미지 곡선이 붕괴됩니다.</t>
  </si>
  <si>
    <r>
      <rPr>
        <b val="true"/>
        <sz val="16"/>
        <color rgb="FFC8A24B"/>
        <rFont val="맑은 고딕"/>
        <family val="0"/>
        <charset val="1"/>
      </rPr>
      <t xml:space="preserve">9. </t>
    </r>
    <r>
      <rPr>
        <b val="true"/>
        <sz val="16"/>
        <color rgb="FFC8A24B"/>
        <rFont val="Noto Sans CJK SC"/>
        <family val="2"/>
      </rPr>
      <t xml:space="preserve">몬스터 기초 스탯 </t>
    </r>
    <r>
      <rPr>
        <b val="true"/>
        <sz val="16"/>
        <color rgb="FFC8A24B"/>
        <rFont val="맑은 고딕"/>
        <family val="0"/>
        <charset val="1"/>
      </rPr>
      <t xml:space="preserve">(</t>
    </r>
    <r>
      <rPr>
        <b val="true"/>
        <sz val="16"/>
        <color rgb="FFC8A24B"/>
        <rFont val="Noto Sans CJK SC"/>
        <family val="2"/>
      </rPr>
      <t xml:space="preserve">레벨 스케일링</t>
    </r>
    <r>
      <rPr>
        <b val="true"/>
        <sz val="16"/>
        <color rgb="FFC8A24B"/>
        <rFont val="맑은 고딕"/>
        <family val="0"/>
        <charset val="1"/>
      </rPr>
      <t xml:space="preserve">)</t>
    </r>
  </si>
  <si>
    <t xml:space="preserve">레벨별 HP · 데미지 · 경험치 · 골드 자동 산출 (지수 성장)</t>
  </si>
  <si>
    <r>
      <rPr>
        <b val="true"/>
        <sz val="11"/>
        <color rgb="FFF4ECDD"/>
        <rFont val="맑은 고딕"/>
        <family val="0"/>
        <charset val="1"/>
      </rPr>
      <t xml:space="preserve">9-1. </t>
    </r>
    <r>
      <rPr>
        <b val="true"/>
        <sz val="11"/>
        <color rgb="FFF4ECDD"/>
        <rFont val="Noto Sans CJK SC"/>
        <family val="2"/>
      </rPr>
      <t xml:space="preserve">성장 파라미터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입력값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</si>
  <si>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파라미터</t>
  </si>
  <si>
    <t xml:space="preserve">기본 HP(Lv1)</t>
  </si>
  <si>
    <t xml:space="preserve">레벨1 일반몹 생명력</t>
  </si>
  <si>
    <r>
      <rPr>
        <b val="true"/>
        <sz val="10"/>
        <color rgb="FF000000"/>
        <rFont val="맑은 고딕"/>
        <family val="0"/>
        <charset val="1"/>
      </rPr>
      <t xml:space="preserve">HP </t>
    </r>
    <r>
      <rPr>
        <b val="true"/>
        <sz val="10"/>
        <color rgb="FF000000"/>
        <rFont val="Noto Sans CJK SC"/>
        <family val="2"/>
      </rPr>
      <t xml:space="preserve">성장률</t>
    </r>
  </si>
  <si>
    <t xml:space="preserve">레벨당 HP 배수(지수)</t>
  </si>
  <si>
    <t xml:space="preserve">기본 데미지(Lv1)</t>
  </si>
  <si>
    <t xml:space="preserve">레벨1 일반몹 공격력</t>
  </si>
  <si>
    <t xml:space="preserve">데미지 성장률</t>
  </si>
  <si>
    <t xml:space="preserve">레벨당 데미지 배수</t>
  </si>
  <si>
    <t xml:space="preserve">기본 경험치(Lv1)</t>
  </si>
  <si>
    <t xml:space="preserve">레벨1 처치 경험치</t>
  </si>
  <si>
    <t xml:space="preserve">경험치 성장률</t>
  </si>
  <si>
    <t xml:space="preserve">레벨당 경험치 배수</t>
  </si>
  <si>
    <t xml:space="preserve">기본 골드(Lv1)</t>
  </si>
  <si>
    <t xml:space="preserve">레벨1 처치 골드</t>
  </si>
  <si>
    <t xml:space="preserve">골드 성장률</t>
  </si>
  <si>
    <t xml:space="preserve">레벨당 골드 배수</t>
  </si>
  <si>
    <r>
      <rPr>
        <b val="true"/>
        <sz val="11"/>
        <color rgb="FFF4ECDD"/>
        <rFont val="맑은 고딕"/>
        <family val="0"/>
        <charset val="1"/>
      </rPr>
      <t xml:space="preserve">9-2. </t>
    </r>
    <r>
      <rPr>
        <b val="true"/>
        <sz val="11"/>
        <color rgb="FFF4ECDD"/>
        <rFont val="Noto Sans CJK SC"/>
        <family val="2"/>
      </rPr>
      <t xml:space="preserve">레벨별 스탯 테이블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자동 계산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</si>
  <si>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레벨</t>
  </si>
  <si>
    <t xml:space="preserve">데미지</t>
  </si>
  <si>
    <t xml:space="preserve">경험치</t>
  </si>
  <si>
    <t xml:space="preserve">골드</t>
  </si>
  <si>
    <t xml:space="preserve">🔆 중요  공식: 스탯 = 기본값 × 성장률^(레벨-1). 지수 성장이라 성장률 1.06 → 만렙70에서 약 50배가 됩니다. 성장률 0.01만 바꿔도 후반 곡선이 크게 변합니다.</t>
  </si>
  <si>
    <t xml:space="preserve">⚠️ 사이드이펙트  성장률을 너무 높이면 후반 몹 HP가 폭발해 '스펀지 몬스터'가 됩니다. 1.05~1.07 범위에서 플레이테스트로 조정하세요.</t>
  </si>
  <si>
    <r>
      <rPr>
        <b val="true"/>
        <sz val="16"/>
        <color rgb="FFC8A24B"/>
        <rFont val="맑은 고딕"/>
        <family val="0"/>
        <charset val="1"/>
      </rPr>
      <t xml:space="preserve">10. </t>
    </r>
    <r>
      <rPr>
        <b val="true"/>
        <sz val="16"/>
        <color rgb="FFC8A24B"/>
        <rFont val="Noto Sans CJK SC"/>
        <family val="2"/>
      </rPr>
      <t xml:space="preserve">몬스터 등급 </t>
    </r>
    <r>
      <rPr>
        <b val="true"/>
        <sz val="16"/>
        <color rgb="FFC8A24B"/>
        <rFont val="맑은 고딕"/>
        <family val="0"/>
        <charset val="1"/>
      </rPr>
      <t xml:space="preserve">(Rarity)</t>
    </r>
  </si>
  <si>
    <t xml:space="preserve">일반 ~ 보스 등급별 배율 · 구성 · 보상</t>
  </si>
  <si>
    <r>
      <rPr>
        <b val="true"/>
        <sz val="11"/>
        <color rgb="FFF4ECDD"/>
        <rFont val="맑은 고딕"/>
        <family val="0"/>
        <charset val="1"/>
      </rPr>
      <t xml:space="preserve">10-1. </t>
    </r>
    <r>
      <rPr>
        <b val="true"/>
        <sz val="11"/>
        <color rgb="FFF4ECDD"/>
        <rFont val="Noto Sans CJK SC"/>
        <family val="2"/>
      </rPr>
      <t xml:space="preserve">등급별 배율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일반몹 </t>
    </r>
    <r>
      <rPr>
        <b val="true"/>
        <sz val="11"/>
        <color rgb="FFF4ECDD"/>
        <rFont val="맑은 고딕"/>
        <family val="0"/>
        <charset val="1"/>
      </rPr>
      <t xml:space="preserve">= 1.0 </t>
    </r>
    <r>
      <rPr>
        <b val="true"/>
        <sz val="11"/>
        <color rgb="FFF4ECDD"/>
        <rFont val="Noto Sans CJK SC"/>
        <family val="2"/>
      </rPr>
      <t xml:space="preserve">기준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</si>
  <si>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r>
      <rPr>
        <b val="true"/>
        <sz val="10"/>
        <color rgb="FFF4ECDD"/>
        <rFont val="맑은 고딕"/>
        <family val="0"/>
        <charset val="1"/>
      </rPr>
      <t xml:space="preserve">HP </t>
    </r>
    <r>
      <rPr>
        <b val="true"/>
        <sz val="10"/>
        <color rgb="FFF4ECDD"/>
        <rFont val="Noto Sans CJK SC"/>
        <family val="2"/>
      </rPr>
      <t xml:space="preserve">배율</t>
    </r>
  </si>
  <si>
    <t xml:space="preserve">데미지 배율</t>
  </si>
  <si>
    <t xml:space="preserve">보상 배율</t>
  </si>
  <si>
    <t xml:space="preserve">구성/특징</t>
  </si>
  <si>
    <t xml:space="preserve">Trash</t>
  </si>
  <si>
    <t xml:space="preserve">무리 출현. 가장 약한 몹</t>
  </si>
  <si>
    <t xml:space="preserve">정예</t>
  </si>
  <si>
    <t xml:space="preserve">Champion</t>
  </si>
  <si>
    <t xml:space="preserve">동일 몹 4~5기 팩, 수식어 1종 공유</t>
  </si>
  <si>
    <t xml:space="preserve">Rare/Unique</t>
  </si>
  <si>
    <t xml:space="preserve">고유 몹 1기 + 하수인, 수식어 2~4종</t>
  </si>
  <si>
    <t xml:space="preserve">미니보스</t>
  </si>
  <si>
    <t xml:space="preserve">Mini-Boss</t>
  </si>
  <si>
    <t xml:space="preserve">구역 수호자. 단일 강력 개체</t>
  </si>
  <si>
    <t xml:space="preserve">보스</t>
  </si>
  <si>
    <t xml:space="preserve">Boss</t>
  </si>
  <si>
    <t xml:space="preserve">액트 보스. 페이즈/패턴 보유</t>
  </si>
  <si>
    <r>
      <rPr>
        <b val="true"/>
        <sz val="11"/>
        <color rgb="FFF4ECDD"/>
        <rFont val="맑은 고딕"/>
        <family val="0"/>
        <charset val="1"/>
      </rPr>
      <t xml:space="preserve">10-2. </t>
    </r>
    <r>
      <rPr>
        <b val="true"/>
        <sz val="11"/>
        <color rgb="FFF4ECDD"/>
        <rFont val="Noto Sans CJK SC"/>
        <family val="2"/>
      </rPr>
      <t xml:space="preserve">적용 예시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만렙</t>
    </r>
    <r>
      <rPr>
        <b val="true"/>
        <sz val="11"/>
        <color rgb="FFF4ECDD"/>
        <rFont val="맑은 고딕"/>
        <family val="0"/>
        <charset val="1"/>
      </rPr>
      <t xml:space="preserve">70 </t>
    </r>
    <r>
      <rPr>
        <b val="true"/>
        <sz val="11"/>
        <color rgb="FFF4ECDD"/>
        <rFont val="Noto Sans CJK SC"/>
        <family val="2"/>
      </rPr>
      <t xml:space="preserve">일반몹 기준값 </t>
    </r>
    <r>
      <rPr>
        <b val="true"/>
        <sz val="11"/>
        <color rgb="FFF4ECDD"/>
        <rFont val="맑은 고딕"/>
        <family val="0"/>
        <charset val="1"/>
      </rPr>
      <t xml:space="preserve">× </t>
    </r>
    <r>
      <rPr>
        <b val="true"/>
        <sz val="11"/>
        <color rgb="FFF4ECDD"/>
        <rFont val="Noto Sans CJK SC"/>
        <family val="2"/>
      </rPr>
      <t xml:space="preserve">등급배율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</si>
  <si>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r>
      <rPr>
        <b val="true"/>
        <sz val="10"/>
        <color rgb="FFF4ECDD"/>
        <rFont val="맑은 고딕"/>
        <family val="0"/>
        <charset val="1"/>
      </rPr>
      <t xml:space="preserve">HP(</t>
    </r>
    <r>
      <rPr>
        <b val="true"/>
        <sz val="10"/>
        <color rgb="FFF4ECDD"/>
        <rFont val="Noto Sans CJK SC"/>
        <family val="2"/>
      </rPr>
      <t xml:space="preserve">예시</t>
    </r>
    <r>
      <rPr>
        <b val="true"/>
        <sz val="10"/>
        <color rgb="FFF4ECDD"/>
        <rFont val="맑은 고딕"/>
        <family val="0"/>
        <charset val="1"/>
      </rPr>
      <t xml:space="preserve">)</t>
    </r>
  </si>
  <si>
    <t xml:space="preserve">데미지(예시)</t>
  </si>
  <si>
    <t xml:space="preserve">경험치(예시)</t>
  </si>
  <si>
    <r>
      <rPr>
        <b val="true"/>
        <sz val="10"/>
        <color rgb="FFC8A24B"/>
        <rFont val="맑은 고딕"/>
        <family val="0"/>
        <charset val="1"/>
      </rPr>
      <t xml:space="preserve">Lv70 </t>
    </r>
    <r>
      <rPr>
        <b val="true"/>
        <sz val="10"/>
        <color rgb="FFC8A24B"/>
        <rFont val="Noto Sans CJK SC"/>
        <family val="2"/>
      </rPr>
      <t xml:space="preserve">일반 기준</t>
    </r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</si>
  <si>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정예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희귀는 </t>
    </r>
    <r>
      <rPr>
        <sz val="9"/>
        <color rgb="FF8A6D3B"/>
        <rFont val="맑은 고딕"/>
        <family val="0"/>
        <charset val="1"/>
      </rPr>
      <t xml:space="preserve">HP </t>
    </r>
    <r>
      <rPr>
        <sz val="9"/>
        <color rgb="FF8A6D3B"/>
        <rFont val="Noto Sans CJK SC"/>
        <family val="2"/>
      </rPr>
      <t xml:space="preserve">배율은 크지만 데미지 배율은 완만하게</t>
    </r>
    <r>
      <rPr>
        <sz val="9"/>
        <color rgb="FF8A6D3B"/>
        <rFont val="맑은 고딕"/>
        <family val="0"/>
        <charset val="1"/>
      </rPr>
      <t xml:space="preserve">(1.5~2</t>
    </r>
    <r>
      <rPr>
        <sz val="9"/>
        <color rgb="FF8A6D3B"/>
        <rFont val="Noto Sans CJK SC"/>
        <family val="2"/>
      </rPr>
      <t xml:space="preserve">배</t>
    </r>
    <r>
      <rPr>
        <sz val="9"/>
        <color rgb="FF8A6D3B"/>
        <rFont val="맑은 고딕"/>
        <family val="0"/>
        <charset val="1"/>
      </rPr>
      <t xml:space="preserve">) </t>
    </r>
    <r>
      <rPr>
        <sz val="9"/>
        <color rgb="FF8A6D3B"/>
        <rFont val="Noto Sans CJK SC"/>
        <family val="2"/>
      </rPr>
      <t xml:space="preserve">두는 게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패턴입니다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한 방에 죽지 않으면서 잡는 맛이 나도록 </t>
    </r>
    <r>
      <rPr>
        <sz val="9"/>
        <color rgb="FF8A6D3B"/>
        <rFont val="맑은 고딕"/>
        <family val="0"/>
        <charset val="1"/>
      </rPr>
      <t xml:space="preserve">'HP↑ </t>
    </r>
    <r>
      <rPr>
        <sz val="9"/>
        <color rgb="FF8A6D3B"/>
        <rFont val="Noto Sans CJK SC"/>
        <family val="2"/>
      </rPr>
      <t xml:space="preserve">데미지 적당</t>
    </r>
    <r>
      <rPr>
        <sz val="9"/>
        <color rgb="FF8A6D3B"/>
        <rFont val="맑은 고딕"/>
        <family val="0"/>
        <charset val="1"/>
      </rPr>
      <t xml:space="preserve">' </t>
    </r>
    <r>
      <rPr>
        <sz val="9"/>
        <color rgb="FF8A6D3B"/>
        <rFont val="Noto Sans CJK SC"/>
        <family val="2"/>
      </rPr>
      <t xml:space="preserve">균형을 잡으세요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</si>
  <si>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보상 배율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경험치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드롭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은 </t>
    </r>
    <r>
      <rPr>
        <sz val="9"/>
        <color rgb="FF8A6D3B"/>
        <rFont val="맑은 고딕"/>
        <family val="0"/>
        <charset val="1"/>
      </rPr>
      <t xml:space="preserve">HP </t>
    </r>
    <r>
      <rPr>
        <sz val="9"/>
        <color rgb="FF8A6D3B"/>
        <rFont val="Noto Sans CJK SC"/>
        <family val="2"/>
      </rPr>
      <t xml:space="preserve">배율과 비슷하게 올려야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강한 몹 </t>
    </r>
    <r>
      <rPr>
        <sz val="9"/>
        <color rgb="FF8A6D3B"/>
        <rFont val="맑은 고딕"/>
        <family val="0"/>
        <charset val="1"/>
      </rPr>
      <t xml:space="preserve">= </t>
    </r>
    <r>
      <rPr>
        <sz val="9"/>
        <color rgb="FF8A6D3B"/>
        <rFont val="Noto Sans CJK SC"/>
        <family val="2"/>
      </rPr>
      <t xml:space="preserve">좋은 보상</t>
    </r>
    <r>
      <rPr>
        <sz val="9"/>
        <color rgb="FF8A6D3B"/>
        <rFont val="맑은 고딕"/>
        <family val="0"/>
        <charset val="1"/>
      </rPr>
      <t xml:space="preserve">' </t>
    </r>
    <r>
      <rPr>
        <sz val="9"/>
        <color rgb="FF8A6D3B"/>
        <rFont val="Noto Sans CJK SC"/>
        <family val="2"/>
      </rPr>
      <t xml:space="preserve">동기 부여가 됩니다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</si>
  <si>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6"/>
        <color rgb="FFC8A24B"/>
        <rFont val="맑은 고딕"/>
        <family val="0"/>
        <charset val="1"/>
      </rPr>
      <t xml:space="preserve">11. </t>
    </r>
    <r>
      <rPr>
        <b val="true"/>
        <sz val="16"/>
        <color rgb="FFC8A24B"/>
        <rFont val="Noto Sans CJK SC"/>
        <family val="2"/>
      </rPr>
      <t xml:space="preserve">몬스터 수식어 </t>
    </r>
    <r>
      <rPr>
        <b val="true"/>
        <sz val="16"/>
        <color rgb="FFC8A24B"/>
        <rFont val="맑은 고딕"/>
        <family val="0"/>
        <charset val="1"/>
      </rPr>
      <t xml:space="preserve">(</t>
    </r>
    <r>
      <rPr>
        <b val="true"/>
        <sz val="16"/>
        <color rgb="FFC8A24B"/>
        <rFont val="Noto Sans CJK SC"/>
        <family val="2"/>
      </rPr>
      <t xml:space="preserve">정예 </t>
    </r>
    <r>
      <rPr>
        <b val="true"/>
        <sz val="16"/>
        <color rgb="FFC8A24B"/>
        <rFont val="맑은 고딕"/>
        <family val="0"/>
        <charset val="1"/>
      </rPr>
      <t xml:space="preserve">Affix)</t>
    </r>
  </si>
  <si>
    <t xml:space="preserve">정예/희귀 몬스터에 부여되는 특수 능력 27종 (Diablo III 기준)</t>
  </si>
  <si>
    <r>
      <rPr>
        <b val="true"/>
        <sz val="11"/>
        <color rgb="FFF4ECDD"/>
        <rFont val="맑은 고딕"/>
        <family val="0"/>
        <charset val="1"/>
      </rPr>
      <t xml:space="preserve">11-1. </t>
    </r>
    <r>
      <rPr>
        <b val="true"/>
        <sz val="11"/>
        <color rgb="FFF4ECDD"/>
        <rFont val="Noto Sans CJK SC"/>
        <family val="2"/>
      </rPr>
      <t xml:space="preserve">정예 수식어 목록</t>
    </r>
  </si>
  <si>
    <t xml:space="preserve">수식어(한)</t>
  </si>
  <si>
    <t xml:space="preserve">수식어(영)</t>
  </si>
  <si>
    <t xml:space="preserve">위협도</t>
  </si>
  <si>
    <t xml:space="preserve">비전 강화</t>
  </si>
  <si>
    <t xml:space="preserve">Arcane Enchanted</t>
  </si>
  <si>
    <t xml:space="preserve">중</t>
  </si>
  <si>
    <t xml:space="preserve">회전하는 비전 광선 빔을 바닥에 생성</t>
  </si>
  <si>
    <t xml:space="preserve">빙결</t>
  </si>
  <si>
    <t xml:space="preserve">Frozen</t>
  </si>
  <si>
    <t xml:space="preserve">상</t>
  </si>
  <si>
    <t xml:space="preserve">범위 내 플레이어를 얼려 행동 불가</t>
  </si>
  <si>
    <t xml:space="preserve">빙결 파동</t>
  </si>
  <si>
    <t xml:space="preserve">Frozen Pulse</t>
  </si>
  <si>
    <t xml:space="preserve">추적하는 얼음 구체가 적중 시 빙결</t>
  </si>
  <si>
    <t xml:space="preserve">속박</t>
  </si>
  <si>
    <t xml:space="preserve">Jailer</t>
  </si>
  <si>
    <t xml:space="preserve">제자리에 가두는 감옥 생성(이동 봉쇄)</t>
  </si>
  <si>
    <t xml:space="preserve">박격포</t>
  </si>
  <si>
    <t xml:space="preserve">Mortar</t>
  </si>
  <si>
    <t xml:space="preserve">원거리 포물선 폭발 투사체 발사</t>
  </si>
  <si>
    <t xml:space="preserve">역병</t>
  </si>
  <si>
    <t xml:space="preserve">Plagued</t>
  </si>
  <si>
    <t xml:space="preserve">하</t>
  </si>
  <si>
    <t xml:space="preserve">바닥에 독성 장판 생성(지속 피해)</t>
  </si>
  <si>
    <t xml:space="preserve">용암</t>
  </si>
  <si>
    <t xml:space="preserve">Molten</t>
  </si>
  <si>
    <t xml:space="preserve">이동 경로에 화염 흔적 + 사망 시 폭발</t>
  </si>
  <si>
    <t xml:space="preserve">전기</t>
  </si>
  <si>
    <t xml:space="preserve">Electrified</t>
  </si>
  <si>
    <t xml:space="preserve">피격 시 사방으로 전기 화살 방출</t>
  </si>
  <si>
    <t xml:space="preserve">화염 사슬</t>
  </si>
  <si>
    <t xml:space="preserve">Fire Chains</t>
  </si>
  <si>
    <t xml:space="preserve">개체 간 불사슬 연결, 접촉 시 큰 피해</t>
  </si>
  <si>
    <t xml:space="preserve">소용돌이</t>
  </si>
  <si>
    <t xml:space="preserve">Vortex</t>
  </si>
  <si>
    <t xml:space="preserve">플레이어를 자신에게 순간 견인</t>
  </si>
  <si>
    <t xml:space="preserve">장벽</t>
  </si>
  <si>
    <t xml:space="preserve">Waller</t>
  </si>
  <si>
    <t xml:space="preserve">플레이어 주변에 돌벽 생성(가둠)</t>
  </si>
  <si>
    <t xml:space="preserve">공포</t>
  </si>
  <si>
    <t xml:space="preserve">Nightmarish</t>
  </si>
  <si>
    <t xml:space="preserve">피격 시 공포 유발(도주 강제)</t>
  </si>
  <si>
    <t xml:space="preserve">넉백</t>
  </si>
  <si>
    <t xml:space="preserve">Knockback</t>
  </si>
  <si>
    <t xml:space="preserve">공격 시 플레이어를 밀쳐냄</t>
  </si>
  <si>
    <t xml:space="preserve">생명력 연결</t>
  </si>
  <si>
    <t xml:space="preserve">Health Link</t>
  </si>
  <si>
    <t xml:space="preserve">팩 개체 간 HP 공유(개별 처치 어려움)</t>
  </si>
  <si>
    <t xml:space="preserve">보호막</t>
  </si>
  <si>
    <t xml:space="preserve">Shielding</t>
  </si>
  <si>
    <t xml:space="preserve">일시적 무적 보호막 전개</t>
  </si>
  <si>
    <t xml:space="preserve">순간이동</t>
  </si>
  <si>
    <t xml:space="preserve">Teleporter</t>
  </si>
  <si>
    <t xml:space="preserve">짧은 거리 순간이동으로 거리 좁힘</t>
  </si>
  <si>
    <t xml:space="preserve">차원문</t>
  </si>
  <si>
    <t xml:space="preserve">Wormhole</t>
  </si>
  <si>
    <t xml:space="preserve">플레이어를 다른 위치로 강제 이동</t>
  </si>
  <si>
    <t xml:space="preserve">뇌우</t>
  </si>
  <si>
    <t xml:space="preserve">Thunderstorm</t>
  </si>
  <si>
    <t xml:space="preserve">머리 위로 낙뢰 강타</t>
  </si>
  <si>
    <t xml:space="preserve">독 강화</t>
  </si>
  <si>
    <t xml:space="preserve">Poison Enchanted</t>
  </si>
  <si>
    <t xml:space="preserve">사방으로 독 구체 폭발 방출</t>
  </si>
  <si>
    <t xml:space="preserve">궤도</t>
  </si>
  <si>
    <t xml:space="preserve">Orbiter</t>
  </si>
  <si>
    <t xml:space="preserve">주위를 도는 전기 구체 생성</t>
  </si>
  <si>
    <t xml:space="preserve">투사체 감쇠</t>
  </si>
  <si>
    <t xml:space="preserve">Missile Dampening</t>
  </si>
  <si>
    <t xml:space="preserve">구역 내 원거리 투사체 속도 격감(딜 방해)</t>
  </si>
  <si>
    <t xml:space="preserve">환영술사</t>
  </si>
  <si>
    <t xml:space="preserve">Illusionist</t>
  </si>
  <si>
    <t xml:space="preserve">피격 시 자신의 분신 다수 생성</t>
  </si>
  <si>
    <t xml:space="preserve">복수자</t>
  </si>
  <si>
    <t xml:space="preserve">Avenger</t>
  </si>
  <si>
    <t xml:space="preserve">팩 일부 사망 시 생존 개체 능력 대폭 강화</t>
  </si>
  <si>
    <t xml:space="preserve">파괴자</t>
  </si>
  <si>
    <t xml:space="preserve">Juggernaut</t>
  </si>
  <si>
    <t xml:space="preserve">군중제어 면역 + 느리지만 강력(보스급)</t>
  </si>
  <si>
    <t xml:space="preserve">데미지 반사</t>
  </si>
  <si>
    <t xml:space="preserve">Reflects Damage</t>
  </si>
  <si>
    <t xml:space="preserve">받은 피해의 일부를 시전자에게 반사</t>
  </si>
  <si>
    <t xml:space="preserve">빠름</t>
  </si>
  <si>
    <t xml:space="preserve">Fast</t>
  </si>
  <si>
    <t xml:space="preserve">이동/공격 속도 증가</t>
  </si>
  <si>
    <t xml:space="preserve">추가 생명력</t>
  </si>
  <si>
    <t xml:space="preserve">Extra Health</t>
  </si>
  <si>
    <r>
      <rPr>
        <sz val="10"/>
        <color rgb="FF000000"/>
        <rFont val="맑은 고딕"/>
        <family val="0"/>
        <charset val="1"/>
      </rPr>
      <t xml:space="preserve">HP </t>
    </r>
    <r>
      <rPr>
        <sz val="10"/>
        <color rgb="FF000000"/>
        <rFont val="Noto Sans CJK SC"/>
        <family val="2"/>
      </rPr>
      <t xml:space="preserve">대폭 증가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장기전 유도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</si>
  <si>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규칙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정예팩은 등급에 따라 수식어를 </t>
    </r>
    <r>
      <rPr>
        <sz val="9"/>
        <color rgb="FF8A6D3B"/>
        <rFont val="맑은 고딕"/>
        <family val="0"/>
        <charset val="1"/>
      </rPr>
      <t xml:space="preserve">1~4</t>
    </r>
    <r>
      <rPr>
        <sz val="9"/>
        <color rgb="FF8A6D3B"/>
        <rFont val="Noto Sans CJK SC"/>
        <family val="2"/>
      </rPr>
      <t xml:space="preserve">종 보유합니다</t>
    </r>
    <r>
      <rPr>
        <sz val="9"/>
        <color rgb="FF8A6D3B"/>
        <rFont val="맑은 고딕"/>
        <family val="0"/>
        <charset val="1"/>
      </rPr>
      <t xml:space="preserve">. '</t>
    </r>
    <r>
      <rPr>
        <sz val="9"/>
        <color rgb="FF8A6D3B"/>
        <rFont val="Noto Sans CJK SC"/>
        <family val="2"/>
      </rPr>
      <t xml:space="preserve">복수자</t>
    </r>
    <r>
      <rPr>
        <sz val="9"/>
        <color rgb="FF8A6D3B"/>
        <rFont val="맑은 고딕"/>
        <family val="0"/>
        <charset val="1"/>
      </rPr>
      <t xml:space="preserve">+</t>
    </r>
    <r>
      <rPr>
        <sz val="9"/>
        <color rgb="FF8A6D3B"/>
        <rFont val="Noto Sans CJK SC"/>
        <family val="2"/>
      </rPr>
      <t xml:space="preserve">생명력연결</t>
    </r>
    <r>
      <rPr>
        <sz val="9"/>
        <color rgb="FF8A6D3B"/>
        <rFont val="맑은 고딕"/>
        <family val="0"/>
        <charset val="1"/>
      </rPr>
      <t xml:space="preserve">' </t>
    </r>
    <r>
      <rPr>
        <sz val="9"/>
        <color rgb="FF8A6D3B"/>
        <rFont val="Noto Sans CJK SC"/>
        <family val="2"/>
      </rPr>
      <t xml:space="preserve">같은 조합은 난이도가 급상승하므로 동시 부여 제한 규칙을 두는 것이 좋습니다</t>
    </r>
    <r>
      <rPr>
        <sz val="9"/>
        <color rgb="FF8A6D3B"/>
        <rFont val="맑은 고딕"/>
        <family val="0"/>
        <charset val="1"/>
      </rPr>
      <t xml:space="preserve">.</t>
    </r>
  </si>
  <si>
    <t xml:space="preserve">⚠️ 사이드이펙트  위협도 '상' 수식어(빙결/화염사슬/반사/투사체감쇠)는 빌드에 따라 즉사급입니다. 저레벨 구간에서는 등장 확률을 낮춰 신규 유저 이탈을 막으세요.</t>
  </si>
  <si>
    <t xml:space="preserve">🔆 중요  데미지 반사(Reflects Damage)는 고DPS 빌드가 자해사하는 대표 함정 수식어입니다. 반사 피해에 상한(캐릭터 HP의 X%)을 두는 것을 권장합니다.</t>
  </si>
  <si>
    <r>
      <rPr>
        <b val="true"/>
        <sz val="16"/>
        <color rgb="FFC8A24B"/>
        <rFont val="맑은 고딕"/>
        <family val="0"/>
        <charset val="1"/>
      </rPr>
      <t xml:space="preserve">12. </t>
    </r>
    <r>
      <rPr>
        <b val="true"/>
        <sz val="16"/>
        <color rgb="FFC8A24B"/>
        <rFont val="Noto Sans CJK SC"/>
        <family val="2"/>
      </rPr>
      <t xml:space="preserve">난이도 </t>
    </r>
    <r>
      <rPr>
        <b val="true"/>
        <sz val="16"/>
        <color rgb="FFC8A24B"/>
        <rFont val="맑은 고딕"/>
        <family val="0"/>
        <charset val="1"/>
      </rPr>
      <t xml:space="preserve">(Difficulty)</t>
    </r>
  </si>
  <si>
    <t xml:space="preserve">보통 ~ 고통16 난이도별 몬스터 배율 · 보상 보너스</t>
  </si>
  <si>
    <r>
      <rPr>
        <b val="true"/>
        <sz val="11"/>
        <color rgb="FFF4ECDD"/>
        <rFont val="맑은 고딕"/>
        <family val="0"/>
        <charset val="1"/>
      </rPr>
      <t xml:space="preserve">12-1. </t>
    </r>
    <r>
      <rPr>
        <b val="true"/>
        <sz val="11"/>
        <color rgb="FFF4ECDD"/>
        <rFont val="Noto Sans CJK SC"/>
        <family val="2"/>
      </rPr>
      <t xml:space="preserve">난이도별 배율</t>
    </r>
  </si>
  <si>
    <t xml:space="preserve">난이도</t>
  </si>
  <si>
    <t xml:space="preserve">경험치 보너스</t>
  </si>
  <si>
    <t xml:space="preserve">골드 보너스</t>
  </si>
  <si>
    <t xml:space="preserve">전설드롭 보너스</t>
  </si>
  <si>
    <t xml:space="preserve">보통(Normal)</t>
  </si>
  <si>
    <t xml:space="preserve">0%</t>
  </si>
  <si>
    <t xml:space="preserve">어려움(Hard)</t>
  </si>
  <si>
    <t xml:space="preserve">75%</t>
  </si>
  <si>
    <t xml:space="preserve">전문가(Expert)</t>
  </si>
  <si>
    <t xml:space="preserve">100%</t>
  </si>
  <si>
    <t xml:space="preserve">마스터(Master)</t>
  </si>
  <si>
    <t xml:space="preserve">200%</t>
  </si>
  <si>
    <t xml:space="preserve">15%</t>
  </si>
  <si>
    <t xml:space="preserve">고통 I</t>
  </si>
  <si>
    <t xml:space="preserve">300%</t>
  </si>
  <si>
    <t xml:space="preserve">30%</t>
  </si>
  <si>
    <t xml:space="preserve">고통 II</t>
  </si>
  <si>
    <t xml:space="preserve">350%</t>
  </si>
  <si>
    <t xml:space="preserve">45%</t>
  </si>
  <si>
    <t xml:space="preserve">고통 III</t>
  </si>
  <si>
    <t xml:space="preserve">400%</t>
  </si>
  <si>
    <t xml:space="preserve">고통 IV</t>
  </si>
  <si>
    <t xml:space="preserve">450%</t>
  </si>
  <si>
    <t xml:space="preserve">고통 V</t>
  </si>
  <si>
    <t xml:space="preserve">500%</t>
  </si>
  <si>
    <t xml:space="preserve">101%</t>
  </si>
  <si>
    <t xml:space="preserve">고통 VI</t>
  </si>
  <si>
    <t xml:space="preserve">550%</t>
  </si>
  <si>
    <t xml:space="preserve">127%</t>
  </si>
  <si>
    <t xml:space="preserve">고통 VIII</t>
  </si>
  <si>
    <t xml:space="preserve">650%</t>
  </si>
  <si>
    <t xml:space="preserve">186%</t>
  </si>
  <si>
    <t xml:space="preserve">고통 X</t>
  </si>
  <si>
    <t xml:space="preserve">800%</t>
  </si>
  <si>
    <t xml:space="preserve">295%</t>
  </si>
  <si>
    <t xml:space="preserve">고통 XIII</t>
  </si>
  <si>
    <t xml:space="preserve">1250%</t>
  </si>
  <si>
    <t xml:space="preserve">620%</t>
  </si>
  <si>
    <t xml:space="preserve">고통 XVI</t>
  </si>
  <si>
    <t xml:space="preserve">2000%</t>
  </si>
  <si>
    <t xml:space="preserve">1600%</t>
  </si>
  <si>
    <r>
      <rPr>
        <b val="true"/>
        <sz val="11"/>
        <color rgb="FFF4ECDD"/>
        <rFont val="맑은 고딕"/>
        <family val="0"/>
        <charset val="1"/>
      </rPr>
      <t xml:space="preserve">12-2. </t>
    </r>
    <r>
      <rPr>
        <b val="true"/>
        <sz val="11"/>
        <color rgb="FFF4ECDD"/>
        <rFont val="Noto Sans CJK SC"/>
        <family val="2"/>
      </rPr>
      <t xml:space="preserve">적용 예시 </t>
    </r>
    <r>
      <rPr>
        <b val="true"/>
        <sz val="11"/>
        <color rgb="FFF4ECDD"/>
        <rFont val="맑은 고딕"/>
        <family val="0"/>
        <charset val="1"/>
      </rPr>
      <t xml:space="preserve">(Lv70 </t>
    </r>
    <r>
      <rPr>
        <b val="true"/>
        <sz val="11"/>
        <color rgb="FFF4ECDD"/>
        <rFont val="Noto Sans CJK SC"/>
        <family val="2"/>
      </rPr>
      <t xml:space="preserve">일반몹 </t>
    </r>
    <r>
      <rPr>
        <b val="true"/>
        <sz val="11"/>
        <color rgb="FFF4ECDD"/>
        <rFont val="맑은 고딕"/>
        <family val="0"/>
        <charset val="1"/>
      </rPr>
      <t xml:space="preserve">× </t>
    </r>
    <r>
      <rPr>
        <b val="true"/>
        <sz val="11"/>
        <color rgb="FFF4ECDD"/>
        <rFont val="Noto Sans CJK SC"/>
        <family val="2"/>
      </rPr>
      <t xml:space="preserve">난이도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</si>
  <si>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최종 HP</t>
  </si>
  <si>
    <t xml:space="preserve">최종 데미지</t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</si>
  <si>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토먼트 곡선</t>
    </r>
    <r>
      <rPr>
        <sz val="9"/>
        <color rgb="FF8A6D3B"/>
        <rFont val="맑은 고딕"/>
        <family val="0"/>
        <charset val="1"/>
      </rPr>
      <t xml:space="preserve">: HP</t>
    </r>
    <r>
      <rPr>
        <sz val="9"/>
        <color rgb="FF8A6D3B"/>
        <rFont val="Noto Sans CJK SC"/>
        <family val="2"/>
      </rPr>
      <t xml:space="preserve">는 기하급수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고통</t>
    </r>
    <r>
      <rPr>
        <sz val="9"/>
        <color rgb="FF8A6D3B"/>
        <rFont val="맑은 고딕"/>
        <family val="0"/>
        <charset val="1"/>
      </rPr>
      <t xml:space="preserve">16</t>
    </r>
    <r>
      <rPr>
        <sz val="9"/>
        <color rgb="FF8A6D3B"/>
        <rFont val="Noto Sans CJK SC"/>
        <family val="2"/>
      </rPr>
      <t xml:space="preserve">에서 일반 대비 수천 배</t>
    </r>
    <r>
      <rPr>
        <sz val="9"/>
        <color rgb="FF8A6D3B"/>
        <rFont val="맑은 고딕"/>
        <family val="0"/>
        <charset val="1"/>
      </rPr>
      <t xml:space="preserve">), </t>
    </r>
    <r>
      <rPr>
        <sz val="9"/>
        <color rgb="FF8A6D3B"/>
        <rFont val="Noto Sans CJK SC"/>
        <family val="2"/>
      </rPr>
      <t xml:space="preserve">데미지는 상대적으로 완만하게 증가합니다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고난도일수록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오래 버티는 몹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이 핵심이고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데미지는 한 방 위협만 유지합니다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</si>
  <si>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난이도 보너스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경험치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골드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전설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는 위험 대비 보상입니다</t>
    </r>
    <r>
      <rPr>
        <sz val="9"/>
        <color rgb="FF8A6D3B"/>
        <rFont val="맑은 고딕"/>
        <family val="0"/>
        <charset val="1"/>
      </rPr>
      <t xml:space="preserve">. HP </t>
    </r>
    <r>
      <rPr>
        <sz val="9"/>
        <color rgb="FF8A6D3B"/>
        <rFont val="Noto Sans CJK SC"/>
        <family val="2"/>
      </rPr>
      <t xml:space="preserve">배율과 드롭 보너스가 비례해야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고난도 파밍이 이득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이라는 동기가 성립합니다</t>
    </r>
    <r>
      <rPr>
        <sz val="9"/>
        <color rgb="FF8A6D3B"/>
        <rFont val="맑은 고딕"/>
        <family val="0"/>
        <charset val="1"/>
      </rPr>
      <t xml:space="preserve">.</t>
    </r>
  </si>
  <si>
    <t xml:space="preserve">⚠️ 사이드이펙트  난이도 배율은 9.몬스터_기초스탯 × 10.등급배율 × 12.난이도배율이 모두 곱연산으로 누적됩니다. 한 시트 값만 바꿔도 최종 체감 난이도가 폭증할 수 있으니 항상 세 시트를 함께 검토하세요.</t>
  </si>
  <si>
    <r>
      <rPr>
        <b val="true"/>
        <sz val="16"/>
        <color rgb="FFC8A24B"/>
        <rFont val="맑은 고딕"/>
        <family val="0"/>
        <charset val="1"/>
      </rPr>
      <t xml:space="preserve">13. </t>
    </r>
    <r>
      <rPr>
        <b val="true"/>
        <sz val="16"/>
        <color rgb="FFC8A24B"/>
        <rFont val="Noto Sans CJK SC"/>
        <family val="2"/>
      </rPr>
      <t xml:space="preserve">스킬 시스템 개요</t>
    </r>
  </si>
  <si>
    <r>
      <rPr>
        <i val="true"/>
        <sz val="9"/>
        <color rgb="FF6B5A40"/>
        <rFont val="Noto Sans CJK SC"/>
        <family val="2"/>
      </rPr>
      <t xml:space="preserve">스킬 분류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액티브 카테고리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자원 체계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슬롯</t>
    </r>
    <r>
      <rPr>
        <i val="true"/>
        <sz val="9"/>
        <color rgb="FF6B5A40"/>
        <rFont val="맑은 고딕"/>
        <family val="0"/>
        <charset val="1"/>
      </rPr>
      <t xml:space="preserve">/</t>
    </r>
    <r>
      <rPr>
        <i val="true"/>
        <sz val="9"/>
        <color rgb="FF6B5A40"/>
        <rFont val="Noto Sans CJK SC"/>
        <family val="2"/>
      </rPr>
      <t xml:space="preserve">해금 규칙 </t>
    </r>
    <r>
      <rPr>
        <i val="true"/>
        <sz val="9"/>
        <color rgb="FF6B5A40"/>
        <rFont val="맑은 고딕"/>
        <family val="0"/>
        <charset val="1"/>
      </rPr>
      <t xml:space="preserve">(Diablo III </t>
    </r>
    <r>
      <rPr>
        <i val="true"/>
        <sz val="9"/>
        <color rgb="FF6B5A40"/>
        <rFont val="Noto Sans CJK SC"/>
        <family val="2"/>
      </rPr>
      <t xml:space="preserve">기준</t>
    </r>
    <r>
      <rPr>
        <i val="true"/>
        <sz val="9"/>
        <color rgb="FF6B5A40"/>
        <rFont val="맑은 고딕"/>
        <family val="0"/>
        <charset val="1"/>
      </rPr>
      <t xml:space="preserve">)</t>
    </r>
  </si>
  <si>
    <r>
      <rPr>
        <b val="true"/>
        <sz val="11"/>
        <color rgb="FFF4ECDD"/>
        <rFont val="맑은 고딕"/>
        <family val="0"/>
        <charset val="1"/>
      </rPr>
      <t xml:space="preserve">13-1. </t>
    </r>
    <r>
      <rPr>
        <b val="true"/>
        <sz val="11"/>
        <color rgb="FFF4ECDD"/>
        <rFont val="Noto Sans CJK SC"/>
        <family val="2"/>
      </rPr>
      <t xml:space="preserve">스킬 대분류</t>
    </r>
  </si>
  <si>
    <t xml:space="preserve">분류</t>
  </si>
  <si>
    <t xml:space="preserve">슬롯 수</t>
  </si>
  <si>
    <t xml:space="preserve">해금 방식</t>
  </si>
  <si>
    <t xml:space="preserve">액티브 스킬</t>
  </si>
  <si>
    <t xml:space="preserve">Active</t>
  </si>
  <si>
    <t xml:space="preserve">레벨별 순차 해금</t>
  </si>
  <si>
    <r>
      <rPr>
        <sz val="10"/>
        <color rgb="FF000000"/>
        <rFont val="Noto Sans CJK SC"/>
        <family val="2"/>
      </rPr>
      <t xml:space="preserve">직접 시전하는 공격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방어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이동 스킬</t>
    </r>
  </si>
  <si>
    <t xml:space="preserve">패시브 스킬</t>
  </si>
  <si>
    <t xml:space="preserve">Passive</t>
  </si>
  <si>
    <r>
      <rPr>
        <sz val="10"/>
        <color rgb="FF000000"/>
        <rFont val="Noto Sans CJK SC"/>
        <family val="2"/>
      </rPr>
      <t xml:space="preserve">레벨 </t>
    </r>
    <r>
      <rPr>
        <sz val="10"/>
        <color rgb="FF000000"/>
        <rFont val="맑은 고딕"/>
        <family val="0"/>
        <charset val="1"/>
      </rPr>
      <t xml:space="preserve">10/20/30/70 </t>
    </r>
    <r>
      <rPr>
        <sz val="10"/>
        <color rgb="FF000000"/>
        <rFont val="Noto Sans CJK SC"/>
        <family val="2"/>
      </rPr>
      <t xml:space="preserve">슬롯 해금</t>
    </r>
  </si>
  <si>
    <t xml:space="preserve">상시 적용되는 강화 효과</t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</si>
  <si>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규칙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액티브 </t>
    </r>
    <r>
      <rPr>
        <sz val="9"/>
        <color rgb="FF8A6D3B"/>
        <rFont val="맑은 고딕"/>
        <family val="0"/>
        <charset val="1"/>
      </rPr>
      <t xml:space="preserve">6</t>
    </r>
    <r>
      <rPr>
        <sz val="9"/>
        <color rgb="FF8A6D3B"/>
        <rFont val="Noto Sans CJK SC"/>
        <family val="2"/>
      </rPr>
      <t xml:space="preserve">슬롯 </t>
    </r>
    <r>
      <rPr>
        <sz val="9"/>
        <color rgb="FF8A6D3B"/>
        <rFont val="맑은 고딕"/>
        <family val="0"/>
        <charset val="1"/>
      </rPr>
      <t xml:space="preserve">+ </t>
    </r>
    <r>
      <rPr>
        <sz val="9"/>
        <color rgb="FF8A6D3B"/>
        <rFont val="Noto Sans CJK SC"/>
        <family val="2"/>
      </rPr>
      <t xml:space="preserve">패시브 </t>
    </r>
    <r>
      <rPr>
        <sz val="9"/>
        <color rgb="FF8A6D3B"/>
        <rFont val="맑은 고딕"/>
        <family val="0"/>
        <charset val="1"/>
      </rPr>
      <t xml:space="preserve">4</t>
    </r>
    <r>
      <rPr>
        <sz val="9"/>
        <color rgb="FF8A6D3B"/>
        <rFont val="Noto Sans CJK SC"/>
        <family val="2"/>
      </rPr>
      <t xml:space="preserve">슬롯이 표준 구성입니다</t>
    </r>
    <r>
      <rPr>
        <sz val="9"/>
        <color rgb="FF8A6D3B"/>
        <rFont val="맑은 고딕"/>
        <family val="0"/>
        <charset val="1"/>
      </rPr>
      <t xml:space="preserve">. '</t>
    </r>
    <r>
      <rPr>
        <sz val="9"/>
        <color rgb="FF8A6D3B"/>
        <rFont val="Noto Sans CJK SC"/>
        <family val="2"/>
      </rPr>
      <t xml:space="preserve">자유 배치 모드</t>
    </r>
    <r>
      <rPr>
        <sz val="9"/>
        <color rgb="FF8A6D3B"/>
        <rFont val="맑은 고딕"/>
        <family val="0"/>
        <charset val="1"/>
      </rPr>
      <t xml:space="preserve">(Elective Mode)'</t>
    </r>
    <r>
      <rPr>
        <sz val="9"/>
        <color rgb="FF8A6D3B"/>
        <rFont val="Noto Sans CJK SC"/>
        <family val="2"/>
      </rPr>
      <t xml:space="preserve">를 켜면 카테고리 제한 없이 </t>
    </r>
    <r>
      <rPr>
        <sz val="9"/>
        <color rgb="FF8A6D3B"/>
        <rFont val="맑은 고딕"/>
        <family val="0"/>
        <charset val="1"/>
      </rPr>
      <t xml:space="preserve">6</t>
    </r>
    <r>
      <rPr>
        <sz val="9"/>
        <color rgb="FF8A6D3B"/>
        <rFont val="Noto Sans CJK SC"/>
        <family val="2"/>
      </rPr>
      <t xml:space="preserve">슬롯에 아무 스킬이나 넣을 수 있습니다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</si>
  <si>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1"/>
        <color rgb="FFF4ECDD"/>
        <rFont val="맑은 고딕"/>
        <family val="0"/>
        <charset val="1"/>
      </rPr>
      <t xml:space="preserve">13-2. </t>
    </r>
    <r>
      <rPr>
        <b val="true"/>
        <sz val="11"/>
        <color rgb="FFF4ECDD"/>
        <rFont val="Noto Sans CJK SC"/>
        <family val="2"/>
      </rPr>
      <t xml:space="preserve">액티브 스킬 카테고리</t>
    </r>
  </si>
  <si>
    <t xml:space="preserve">카테고리</t>
  </si>
  <si>
    <t xml:space="preserve">자원 관계</t>
  </si>
  <si>
    <t xml:space="preserve">대표 역할</t>
  </si>
  <si>
    <t xml:space="preserve">해금 시작 레벨</t>
  </si>
  <si>
    <t xml:space="preserve">생성기</t>
  </si>
  <si>
    <t xml:space="preserve">Primary</t>
  </si>
  <si>
    <r>
      <rPr>
        <sz val="10"/>
        <color rgb="FF000000"/>
        <rFont val="Noto Sans CJK SC"/>
        <family val="2"/>
      </rPr>
      <t xml:space="preserve">자원 생성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소모 없음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</si>
  <si>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기본 공격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자원 충전</t>
    </r>
  </si>
  <si>
    <t xml:space="preserve">소비기</t>
  </si>
  <si>
    <t xml:space="preserve">Secondary</t>
  </si>
  <si>
    <r>
      <rPr>
        <sz val="10"/>
        <color rgb="FF000000"/>
        <rFont val="Noto Sans CJK SC"/>
        <family val="2"/>
      </rPr>
      <t xml:space="preserve">자원 소모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고데미지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</si>
  <si>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주력 딜링 스킬</t>
  </si>
  <si>
    <t xml:space="preserve">방어</t>
  </si>
  <si>
    <t xml:space="preserve">Defensive</t>
  </si>
  <si>
    <r>
      <rPr>
        <sz val="10"/>
        <color rgb="FF000000"/>
        <rFont val="Noto Sans CJK SC"/>
        <family val="2"/>
      </rPr>
      <t xml:space="preserve">자원 소모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쿨다운</t>
    </r>
  </si>
  <si>
    <r>
      <rPr>
        <sz val="10"/>
        <color rgb="FF000000"/>
        <rFont val="Noto Sans CJK SC"/>
        <family val="2"/>
      </rPr>
      <t xml:space="preserve">피해 감소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생존</t>
    </r>
  </si>
  <si>
    <t xml:space="preserve">이동</t>
  </si>
  <si>
    <t xml:space="preserve">Mobility</t>
  </si>
  <si>
    <r>
      <rPr>
        <sz val="10"/>
        <color rgb="FF000000"/>
        <rFont val="Noto Sans CJK SC"/>
        <family val="2"/>
      </rPr>
      <t xml:space="preserve">자원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쿨다운</t>
    </r>
  </si>
  <si>
    <r>
      <rPr>
        <sz val="10"/>
        <color rgb="FF000000"/>
        <rFont val="Noto Sans CJK SC"/>
        <family val="2"/>
      </rPr>
      <t xml:space="preserve">순간이동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돌진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회피</t>
    </r>
  </si>
  <si>
    <t xml:space="preserve">버프</t>
  </si>
  <si>
    <t xml:space="preserve">Buff</t>
  </si>
  <si>
    <r>
      <rPr>
        <sz val="10"/>
        <color rgb="FF000000"/>
        <rFont val="Noto Sans CJK SC"/>
        <family val="2"/>
      </rPr>
      <t xml:space="preserve">쿨다운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지속</t>
    </r>
  </si>
  <si>
    <r>
      <rPr>
        <sz val="10"/>
        <color rgb="FF000000"/>
        <rFont val="Noto Sans CJK SC"/>
        <family val="2"/>
      </rPr>
      <t xml:space="preserve">자버프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무기 강화</t>
    </r>
  </si>
  <si>
    <t xml:space="preserve">16</t>
  </si>
  <si>
    <t xml:space="preserve">역장</t>
  </si>
  <si>
    <t xml:space="preserve">Force</t>
  </si>
  <si>
    <t xml:space="preserve">자원 소모</t>
  </si>
  <si>
    <r>
      <rPr>
        <sz val="10"/>
        <color rgb="FF000000"/>
        <rFont val="Noto Sans CJK SC"/>
        <family val="2"/>
      </rPr>
      <t xml:space="preserve">광역 제어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넉백</t>
    </r>
  </si>
  <si>
    <t xml:space="preserve">궁극기</t>
  </si>
  <si>
    <t xml:space="preserve">Ultimate</t>
  </si>
  <si>
    <t xml:space="preserve">긴 쿨다운</t>
  </si>
  <si>
    <r>
      <rPr>
        <sz val="10"/>
        <color rgb="FF000000"/>
        <rFont val="Noto Sans CJK SC"/>
        <family val="2"/>
      </rPr>
      <t xml:space="preserve">변신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대규모 폭발</t>
    </r>
  </si>
  <si>
    <t xml:space="preserve">26~61</t>
  </si>
  <si>
    <r>
      <rPr>
        <b val="true"/>
        <sz val="11"/>
        <color rgb="FFF4ECDD"/>
        <rFont val="맑은 고딕"/>
        <family val="0"/>
        <charset val="1"/>
      </rPr>
      <t xml:space="preserve">13-3. </t>
    </r>
    <r>
      <rPr>
        <b val="true"/>
        <sz val="11"/>
        <color rgb="FFF4ECDD"/>
        <rFont val="Noto Sans CJK SC"/>
        <family val="2"/>
      </rPr>
      <t xml:space="preserve">자원</t>
    </r>
    <r>
      <rPr>
        <b val="true"/>
        <sz val="11"/>
        <color rgb="FFF4ECDD"/>
        <rFont val="맑은 고딕"/>
        <family val="0"/>
        <charset val="1"/>
      </rPr>
      <t xml:space="preserve">(Resource) </t>
    </r>
    <r>
      <rPr>
        <b val="true"/>
        <sz val="11"/>
        <color rgb="FFF4ECDD"/>
        <rFont val="Noto Sans CJK SC"/>
        <family val="2"/>
      </rPr>
      <t xml:space="preserve">체계 — 직업별</t>
    </r>
  </si>
  <si>
    <t xml:space="preserve">자원명</t>
  </si>
  <si>
    <t xml:space="preserve">최대치</t>
  </si>
  <si>
    <t xml:space="preserve">회복 방식</t>
  </si>
  <si>
    <t xml:space="preserve">분노</t>
  </si>
  <si>
    <t xml:space="preserve">Fury</t>
  </si>
  <si>
    <t xml:space="preserve">100</t>
  </si>
  <si>
    <r>
      <rPr>
        <sz val="10"/>
        <color rgb="FF000000"/>
        <rFont val="Noto Sans CJK SC"/>
        <family val="2"/>
      </rPr>
      <t xml:space="preserve">공격 시 생성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시간 경과 감소</t>
    </r>
  </si>
  <si>
    <t xml:space="preserve">Wrath</t>
  </si>
  <si>
    <t xml:space="preserve">30~</t>
  </si>
  <si>
    <r>
      <rPr>
        <sz val="10"/>
        <color rgb="FF000000"/>
        <rFont val="Noto Sans CJK SC"/>
        <family val="2"/>
      </rPr>
      <t xml:space="preserve">공격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패시브로 생성</t>
    </r>
  </si>
  <si>
    <r>
      <rPr>
        <b val="true"/>
        <sz val="10"/>
        <color rgb="FF000000"/>
        <rFont val="Noto Sans CJK SC"/>
        <family val="2"/>
      </rPr>
      <t xml:space="preserve">증오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규율</t>
    </r>
  </si>
  <si>
    <t xml:space="preserve">Hatred / Discipline</t>
  </si>
  <si>
    <t xml:space="preserve">125 / 30</t>
  </si>
  <si>
    <r>
      <rPr>
        <sz val="10"/>
        <color rgb="FF000000"/>
        <rFont val="Noto Sans CJK SC"/>
        <family val="2"/>
      </rPr>
      <t xml:space="preserve">증오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생성기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규율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회피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방어</t>
    </r>
  </si>
  <si>
    <t xml:space="preserve">정신력</t>
  </si>
  <si>
    <t xml:space="preserve">Spirit</t>
  </si>
  <si>
    <t xml:space="preserve">150</t>
  </si>
  <si>
    <t xml:space="preserve">생성기 사용으로 충전</t>
  </si>
  <si>
    <t xml:space="preserve">비전력</t>
  </si>
  <si>
    <t xml:space="preserve">Arcane Power</t>
  </si>
  <si>
    <r>
      <rPr>
        <sz val="10"/>
        <color rgb="FF000000"/>
        <rFont val="Noto Sans CJK SC"/>
        <family val="2"/>
      </rPr>
      <t xml:space="preserve">초당 자동 재생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생성기</t>
    </r>
  </si>
  <si>
    <t xml:space="preserve">마나</t>
  </si>
  <si>
    <t xml:space="preserve">Mana</t>
  </si>
  <si>
    <t xml:space="preserve">근거리 대형</t>
  </si>
  <si>
    <t xml:space="preserve">느린 자동 재생</t>
  </si>
  <si>
    <r>
      <rPr>
        <sz val="9"/>
        <color rgb="FF8A6D3B"/>
        <rFont val="Noto Sans CJK SC"/>
        <family val="2"/>
      </rPr>
      <t xml:space="preserve">🔆 중요  자원 설계의 핵심은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생성기 ↔ 소비기</t>
    </r>
    <r>
      <rPr>
        <sz val="9"/>
        <color rgb="FF8A6D3B"/>
        <rFont val="맑은 고딕"/>
        <family val="0"/>
        <charset val="1"/>
      </rPr>
      <t xml:space="preserve">' </t>
    </r>
    <r>
      <rPr>
        <sz val="9"/>
        <color rgb="FF8A6D3B"/>
        <rFont val="Noto Sans CJK SC"/>
        <family val="2"/>
      </rPr>
      <t xml:space="preserve">순환입니다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생성기로 자원을 모아 고데미지 소비기를 쓰는 리듬이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전투의 기본 루프입니다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</si>
  <si>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1"/>
        <color rgb="FFF4ECDD"/>
        <rFont val="맑은 고딕"/>
        <family val="0"/>
        <charset val="1"/>
      </rPr>
      <t xml:space="preserve">13-4. </t>
    </r>
    <r>
      <rPr>
        <b val="true"/>
        <sz val="11"/>
        <color rgb="FFF4ECDD"/>
        <rFont val="Noto Sans CJK SC"/>
        <family val="2"/>
      </rPr>
      <t xml:space="preserve">레벨별 슬롯 해금</t>
    </r>
  </si>
  <si>
    <t xml:space="preserve">해금 레벨</t>
  </si>
  <si>
    <t xml:space="preserve">해금 내용</t>
  </si>
  <si>
    <t xml:space="preserve">누적 액티브</t>
  </si>
  <si>
    <t xml:space="preserve">누적 패시브</t>
  </si>
  <si>
    <r>
      <rPr>
        <sz val="10"/>
        <color rgb="FF000000"/>
        <rFont val="Noto Sans CJK SC"/>
        <family val="2"/>
      </rPr>
      <t xml:space="preserve">액티브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번 슬롯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생성기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</si>
  <si>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2~8</t>
  </si>
  <si>
    <r>
      <rPr>
        <sz val="10"/>
        <color rgb="FF000000"/>
        <rFont val="Noto Sans CJK SC"/>
        <family val="2"/>
      </rPr>
      <t xml:space="preserve">액티브 </t>
    </r>
    <r>
      <rPr>
        <sz val="10"/>
        <color rgb="FF000000"/>
        <rFont val="맑은 고딕"/>
        <family val="0"/>
        <charset val="1"/>
      </rPr>
      <t xml:space="preserve">2~3</t>
    </r>
    <r>
      <rPr>
        <sz val="10"/>
        <color rgb="FF000000"/>
        <rFont val="Noto Sans CJK SC"/>
        <family val="2"/>
      </rPr>
      <t xml:space="preserve">번 슬롯 순차 해금</t>
    </r>
  </si>
  <si>
    <r>
      <rPr>
        <sz val="10"/>
        <color rgb="FF000000"/>
        <rFont val="Noto Sans CJK SC"/>
        <family val="2"/>
      </rPr>
      <t xml:space="preserve">패시브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번 슬롯</t>
    </r>
  </si>
  <si>
    <t xml:space="preserve">13~18</t>
  </si>
  <si>
    <r>
      <rPr>
        <sz val="10"/>
        <color rgb="FF000000"/>
        <rFont val="Noto Sans CJK SC"/>
        <family val="2"/>
      </rPr>
      <t xml:space="preserve">액티브 </t>
    </r>
    <r>
      <rPr>
        <sz val="10"/>
        <color rgb="FF000000"/>
        <rFont val="맑은 고딕"/>
        <family val="0"/>
        <charset val="1"/>
      </rPr>
      <t xml:space="preserve">4~5</t>
    </r>
    <r>
      <rPr>
        <sz val="10"/>
        <color rgb="FF000000"/>
        <rFont val="Noto Sans CJK SC"/>
        <family val="2"/>
      </rPr>
      <t xml:space="preserve">번 슬롯</t>
    </r>
  </si>
  <si>
    <r>
      <rPr>
        <sz val="10"/>
        <color rgb="FF000000"/>
        <rFont val="Noto Sans CJK SC"/>
        <family val="2"/>
      </rPr>
      <t xml:space="preserve">패시브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번 슬롯</t>
    </r>
  </si>
  <si>
    <t xml:space="preserve">30</t>
  </si>
  <si>
    <r>
      <rPr>
        <sz val="10"/>
        <color rgb="FF000000"/>
        <rFont val="Noto Sans CJK SC"/>
        <family val="2"/>
      </rPr>
      <t xml:space="preserve">패시브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번 슬롯</t>
    </r>
  </si>
  <si>
    <t xml:space="preserve">31~60</t>
  </si>
  <si>
    <r>
      <rPr>
        <sz val="10"/>
        <color rgb="FF000000"/>
        <rFont val="Noto Sans CJK SC"/>
        <family val="2"/>
      </rPr>
      <t xml:space="preserve">액티브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번 슬롯 해금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Lv30)</t>
    </r>
  </si>
  <si>
    <t xml:space="preserve">70</t>
  </si>
  <si>
    <r>
      <rPr>
        <sz val="10"/>
        <color rgb="FF000000"/>
        <rFont val="Noto Sans CJK SC"/>
        <family val="2"/>
      </rPr>
      <t xml:space="preserve">패시브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번 슬롯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만렙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</si>
  <si>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슬롯을 한 번에 다 열지 않고 레벨에 따라 점진적으로 여는 것이 핵심입니다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신규 유저가 스킬 </t>
    </r>
    <r>
      <rPr>
        <sz val="9"/>
        <color rgb="FF8A6D3B"/>
        <rFont val="맑은 고딕"/>
        <family val="0"/>
        <charset val="1"/>
      </rPr>
      <t xml:space="preserve">6</t>
    </r>
    <r>
      <rPr>
        <sz val="9"/>
        <color rgb="FF8A6D3B"/>
        <rFont val="Noto Sans CJK SC"/>
        <family val="2"/>
      </rPr>
      <t xml:space="preserve">개를 동시에 관리하는 부담을 줄이고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레벨업마다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새 스킬 해금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이라는 보상감을 줍니다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</si>
  <si>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Noto Sans CJK SC"/>
        <family val="2"/>
      </rPr>
      <t xml:space="preserve">⚠️ 사이드이펙트  슬롯 해금 레벨은 입력값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밸런싱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만렙을 </t>
    </r>
    <r>
      <rPr>
        <sz val="9"/>
        <color rgb="FF8A6D3B"/>
        <rFont val="맑은 고딕"/>
        <family val="0"/>
        <charset val="1"/>
      </rPr>
      <t xml:space="preserve">70</t>
    </r>
    <r>
      <rPr>
        <sz val="9"/>
        <color rgb="FF8A6D3B"/>
        <rFont val="Noto Sans CJK SC"/>
        <family val="2"/>
      </rPr>
      <t xml:space="preserve">이 아닌 다른 값으로 바꾸면 이 표의 해금 곡선도 함께 조정해야 합니다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</si>
  <si>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6"/>
        <color rgb="FFC8A24B"/>
        <rFont val="맑은 고딕"/>
        <family val="0"/>
        <charset val="1"/>
      </rPr>
      <t xml:space="preserve">14. </t>
    </r>
    <r>
      <rPr>
        <b val="true"/>
        <sz val="16"/>
        <color rgb="FFC8A24B"/>
        <rFont val="Noto Sans CJK SC"/>
        <family val="2"/>
      </rPr>
      <t xml:space="preserve">액티브 스킬 목록</t>
    </r>
  </si>
  <si>
    <r>
      <rPr>
        <i val="true"/>
        <sz val="9"/>
        <color rgb="FF6B5A40"/>
        <rFont val="Noto Sans CJK SC"/>
        <family val="2"/>
      </rPr>
      <t xml:space="preserve">마법사</t>
    </r>
    <r>
      <rPr>
        <i val="true"/>
        <sz val="9"/>
        <color rgb="FF6B5A40"/>
        <rFont val="맑은 고딕"/>
        <family val="0"/>
        <charset val="1"/>
      </rPr>
      <t xml:space="preserve">(Wizard) </t>
    </r>
    <r>
      <rPr>
        <i val="true"/>
        <sz val="9"/>
        <color rgb="FF6B5A40"/>
        <rFont val="Noto Sans CJK SC"/>
        <family val="2"/>
      </rPr>
      <t xml:space="preserve">기준 카탈로그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스킬계수는 </t>
    </r>
    <r>
      <rPr>
        <i val="true"/>
        <sz val="9"/>
        <color rgb="FF6B5A40"/>
        <rFont val="맑은 고딕"/>
        <family val="0"/>
        <charset val="1"/>
      </rPr>
      <t xml:space="preserve">3.</t>
    </r>
    <r>
      <rPr>
        <i val="true"/>
        <sz val="9"/>
        <color rgb="FF6B5A40"/>
        <rFont val="Noto Sans CJK SC"/>
        <family val="2"/>
      </rPr>
      <t xml:space="preserve">데미지</t>
    </r>
    <r>
      <rPr>
        <i val="true"/>
        <sz val="9"/>
        <color rgb="FF6B5A40"/>
        <rFont val="맑은 고딕"/>
        <family val="0"/>
        <charset val="1"/>
      </rPr>
      <t xml:space="preserve">_</t>
    </r>
    <r>
      <rPr>
        <i val="true"/>
        <sz val="9"/>
        <color rgb="FF6B5A40"/>
        <rFont val="Noto Sans CJK SC"/>
        <family val="2"/>
      </rPr>
      <t xml:space="preserve">파이프라인의 </t>
    </r>
    <r>
      <rPr>
        <i val="true"/>
        <sz val="9"/>
        <color rgb="FF6B5A40"/>
        <rFont val="맑은 고딕"/>
        <family val="0"/>
        <charset val="1"/>
      </rPr>
      <t xml:space="preserve">'</t>
    </r>
    <r>
      <rPr>
        <i val="true"/>
        <sz val="9"/>
        <color rgb="FF6B5A40"/>
        <rFont val="Noto Sans CJK SC"/>
        <family val="2"/>
      </rPr>
      <t xml:space="preserve">스킬 계수</t>
    </r>
    <r>
      <rPr>
        <i val="true"/>
        <sz val="9"/>
        <color rgb="FF6B5A40"/>
        <rFont val="맑은 고딕"/>
        <family val="0"/>
        <charset val="1"/>
      </rPr>
      <t xml:space="preserve">'</t>
    </r>
    <r>
      <rPr>
        <i val="true"/>
        <sz val="9"/>
        <color rgb="FF6B5A40"/>
        <rFont val="Noto Sans CJK SC"/>
        <family val="2"/>
      </rPr>
      <t xml:space="preserve">로 연동</t>
    </r>
  </si>
  <si>
    <r>
      <rPr>
        <b val="true"/>
        <sz val="11"/>
        <color rgb="FFF4ECDD"/>
        <rFont val="맑은 고딕"/>
        <family val="0"/>
        <charset val="1"/>
      </rPr>
      <t xml:space="preserve">14-1. </t>
    </r>
    <r>
      <rPr>
        <b val="true"/>
        <sz val="11"/>
        <color rgb="FFF4ECDD"/>
        <rFont val="Noto Sans CJK SC"/>
        <family val="2"/>
      </rPr>
      <t xml:space="preserve">액티브 스킬 카탈로그</t>
    </r>
  </si>
  <si>
    <t xml:space="preserve">스킬명</t>
  </si>
  <si>
    <r>
      <rPr>
        <b val="true"/>
        <sz val="10"/>
        <color rgb="FFF4ECDD"/>
        <rFont val="Noto Sans CJK SC"/>
        <family val="2"/>
      </rPr>
      <t xml:space="preserve">해금</t>
    </r>
    <r>
      <rPr>
        <b val="true"/>
        <sz val="10"/>
        <color rgb="FFF4ECDD"/>
        <rFont val="맑은 고딕"/>
        <family val="0"/>
        <charset val="1"/>
      </rPr>
      <t xml:space="preserve">Lv</t>
    </r>
  </si>
  <si>
    <t xml:space="preserve">자원소모</t>
  </si>
  <si>
    <t xml:space="preserve">쿨다운</t>
  </si>
  <si>
    <t xml:space="preserve">스킬계수</t>
  </si>
  <si>
    <t xml:space="preserve">마법 미사일</t>
  </si>
  <si>
    <r>
      <rPr>
        <sz val="10"/>
        <color rgb="FF000000"/>
        <rFont val="Noto Sans CJK SC"/>
        <family val="2"/>
      </rPr>
      <t xml:space="preserve">비전력 생성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단일 대상 기본 마법탄</t>
    </r>
  </si>
  <si>
    <t xml:space="preserve">감전</t>
  </si>
  <si>
    <r>
      <rPr>
        <sz val="10"/>
        <color rgb="FF000000"/>
        <rFont val="Noto Sans CJK SC"/>
        <family val="2"/>
      </rPr>
      <t xml:space="preserve">연쇄 번개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비전력 생성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다중 타격</t>
    </r>
  </si>
  <si>
    <t xml:space="preserve">충격 파동</t>
  </si>
  <si>
    <r>
      <rPr>
        <sz val="10"/>
        <color rgb="FF000000"/>
        <rFont val="Noto Sans CJK SC"/>
        <family val="2"/>
      </rPr>
      <t xml:space="preserve">근거리 부채꼴 전격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갈래</t>
    </r>
  </si>
  <si>
    <t xml:space="preserve">비전 칼날</t>
  </si>
  <si>
    <r>
      <rPr>
        <sz val="10"/>
        <color rgb="FF000000"/>
        <rFont val="Noto Sans CJK SC"/>
        <family val="2"/>
      </rPr>
      <t xml:space="preserve">근접 베기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높은 생성기 계수</t>
    </r>
  </si>
  <si>
    <t xml:space="preserve">냉기 광선</t>
  </si>
  <si>
    <r>
      <rPr>
        <sz val="10"/>
        <color rgb="FF000000"/>
        <rFont val="맑은 고딕"/>
        <family val="0"/>
        <charset val="1"/>
      </rPr>
      <t xml:space="preserve">10/</t>
    </r>
    <r>
      <rPr>
        <sz val="10"/>
        <color rgb="FF000000"/>
        <rFont val="Noto Sans CJK SC"/>
        <family val="2"/>
      </rPr>
      <t xml:space="preserve">초</t>
    </r>
  </si>
  <si>
    <r>
      <rPr>
        <sz val="10"/>
        <color rgb="FF000000"/>
        <rFont val="Noto Sans CJK SC"/>
        <family val="2"/>
      </rPr>
      <t xml:space="preserve">지속 냉기 빔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적중 시 둔화</t>
    </r>
  </si>
  <si>
    <t xml:space="preserve">비전 구체</t>
  </si>
  <si>
    <r>
      <rPr>
        <sz val="10"/>
        <color rgb="FF000000"/>
        <rFont val="Noto Sans CJK SC"/>
        <family val="2"/>
      </rPr>
      <t xml:space="preserve">관통 비전 구체 폭발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광역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</si>
  <si>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비전 격류</t>
  </si>
  <si>
    <r>
      <rPr>
        <sz val="10"/>
        <color rgb="FF000000"/>
        <rFont val="맑은 고딕"/>
        <family val="0"/>
        <charset val="1"/>
      </rPr>
      <t xml:space="preserve">16/</t>
    </r>
    <r>
      <rPr>
        <sz val="10"/>
        <color rgb="FF000000"/>
        <rFont val="Noto Sans CJK SC"/>
        <family val="2"/>
      </rPr>
      <t xml:space="preserve">초</t>
    </r>
  </si>
  <si>
    <t xml:space="preserve">연속 비전탄 난사</t>
  </si>
  <si>
    <t xml:space="preserve">분해</t>
  </si>
  <si>
    <r>
      <rPr>
        <sz val="10"/>
        <color rgb="FF000000"/>
        <rFont val="맑은 고딕"/>
        <family val="0"/>
        <charset val="1"/>
      </rPr>
      <t xml:space="preserve">18/</t>
    </r>
    <r>
      <rPr>
        <sz val="10"/>
        <color rgb="FF000000"/>
        <rFont val="Noto Sans CJK SC"/>
        <family val="2"/>
      </rPr>
      <t xml:space="preserve">초</t>
    </r>
  </si>
  <si>
    <r>
      <rPr>
        <sz val="10"/>
        <color rgb="FF000000"/>
        <rFont val="Noto Sans CJK SC"/>
        <family val="2"/>
      </rPr>
      <t xml:space="preserve">관통 분해 광선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직선 광역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</si>
  <si>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냉기 회오리</t>
  </si>
  <si>
    <r>
      <rPr>
        <sz val="10"/>
        <color rgb="FF000000"/>
        <rFont val="Noto Sans CJK SC"/>
        <family val="2"/>
      </rPr>
      <t xml:space="preserve">주변 빙결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둔화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제어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</si>
  <si>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다이아몬드 피부</t>
  </si>
  <si>
    <t xml:space="preserve">15</t>
  </si>
  <si>
    <r>
      <rPr>
        <sz val="10"/>
        <color rgb="FF000000"/>
        <rFont val="맑은 고딕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초</t>
    </r>
  </si>
  <si>
    <r>
      <rPr>
        <sz val="10"/>
        <color rgb="FF000000"/>
        <rFont val="Noto Sans CJK SC"/>
        <family val="2"/>
      </rPr>
      <t xml:space="preserve">흡수 보호막 생성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피해 흡수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</si>
  <si>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시간 둔화</t>
  </si>
  <si>
    <r>
      <rPr>
        <sz val="10"/>
        <color rgb="FF000000"/>
        <rFont val="Noto Sans CJK SC"/>
        <family val="2"/>
      </rPr>
      <t xml:space="preserve">구체 내 적 시간 둔화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광역 제어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</si>
  <si>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수경 분신</t>
  </si>
  <si>
    <r>
      <rPr>
        <sz val="10"/>
        <color rgb="FF000000"/>
        <rFont val="Noto Sans CJK SC"/>
        <family val="2"/>
      </rPr>
      <t xml:space="preserve">분신 </t>
    </r>
    <r>
      <rPr>
        <sz val="10"/>
        <color rgb="FF000000"/>
        <rFont val="맑은 고딕"/>
        <family val="0"/>
        <charset val="1"/>
      </rPr>
      <t xml:space="preserve">2~3</t>
    </r>
    <r>
      <rPr>
        <sz val="10"/>
        <color rgb="FF000000"/>
        <rFont val="Noto Sans CJK SC"/>
        <family val="2"/>
      </rPr>
      <t xml:space="preserve">기 소환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어그로 분산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</si>
  <si>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초</t>
    </r>
  </si>
  <si>
    <r>
      <rPr>
        <sz val="10"/>
        <color rgb="FF000000"/>
        <rFont val="Noto Sans CJK SC"/>
        <family val="2"/>
      </rPr>
      <t xml:space="preserve">짧은 거리 순간이동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회피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추격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</si>
  <si>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폭발 파동</t>
  </si>
  <si>
    <t xml:space="preserve">25</t>
  </si>
  <si>
    <r>
      <rPr>
        <sz val="10"/>
        <color rgb="FF000000"/>
        <rFont val="Noto Sans CJK SC"/>
        <family val="2"/>
      </rPr>
      <t xml:space="preserve">전방 충격파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넉백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광역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</si>
  <si>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에너지 회오리</t>
  </si>
  <si>
    <t xml:space="preserve">35</t>
  </si>
  <si>
    <t xml:space="preserve">추적 토네이도 생성</t>
  </si>
  <si>
    <t xml:space="preserve">마법 무기</t>
  </si>
  <si>
    <r>
      <rPr>
        <sz val="10"/>
        <color rgb="FF000000"/>
        <rFont val="Noto Sans CJK SC"/>
        <family val="2"/>
      </rPr>
      <t xml:space="preserve">무기 데미지 </t>
    </r>
    <r>
      <rPr>
        <sz val="10"/>
        <color rgb="FF000000"/>
        <rFont val="맑은 고딕"/>
        <family val="0"/>
        <charset val="1"/>
      </rPr>
      <t xml:space="preserve">+10% </t>
    </r>
    <r>
      <rPr>
        <sz val="10"/>
        <color rgb="FF000000"/>
        <rFont val="Noto Sans CJK SC"/>
        <family val="2"/>
      </rPr>
      <t xml:space="preserve">지속 버프</t>
    </r>
  </si>
  <si>
    <t xml:space="preserve">폭풍 갑옷</t>
  </si>
  <si>
    <r>
      <rPr>
        <sz val="10"/>
        <color rgb="FF000000"/>
        <rFont val="Noto Sans CJK SC"/>
        <family val="2"/>
      </rPr>
      <t xml:space="preserve">피격 시 번개 반격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자버프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</si>
  <si>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운석</t>
  </si>
  <si>
    <t xml:space="preserve">40</t>
  </si>
  <si>
    <r>
      <rPr>
        <sz val="10"/>
        <color rgb="FF000000"/>
        <rFont val="Noto Sans CJK SC"/>
        <family val="2"/>
      </rPr>
      <t xml:space="preserve">낙하 운석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즉시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화염장판 광역</t>
    </r>
  </si>
  <si>
    <t xml:space="preserve">눈보라</t>
  </si>
  <si>
    <t xml:space="preserve">범위 지속 냉기 폭격</t>
  </si>
  <si>
    <t xml:space="preserve">대마법사</t>
  </si>
  <si>
    <r>
      <rPr>
        <sz val="10"/>
        <color rgb="FF000000"/>
        <rFont val="맑은 고딕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초</t>
    </r>
  </si>
  <si>
    <r>
      <rPr>
        <sz val="10"/>
        <color rgb="FF000000"/>
        <rFont val="Noto Sans CJK SC"/>
        <family val="2"/>
      </rPr>
      <t xml:space="preserve">변신 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스킬 교체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대폭 강화</t>
    </r>
  </si>
  <si>
    <r>
      <rPr>
        <sz val="9"/>
        <color rgb="FF8A6D3B"/>
        <rFont val="Noto Sans CJK SC"/>
        <family val="2"/>
      </rPr>
      <t xml:space="preserve">🔆 중요  스킬계수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무기데미지 배율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는 </t>
    </r>
    <r>
      <rPr>
        <sz val="9"/>
        <color rgb="FF8A6D3B"/>
        <rFont val="맑은 고딕"/>
        <family val="0"/>
        <charset val="1"/>
      </rPr>
      <t xml:space="preserve">3.</t>
    </r>
    <r>
      <rPr>
        <sz val="9"/>
        <color rgb="FF8A6D3B"/>
        <rFont val="Noto Sans CJK SC"/>
        <family val="2"/>
      </rPr>
      <t xml:space="preserve">데미지</t>
    </r>
    <r>
      <rPr>
        <sz val="9"/>
        <color rgb="FF8A6D3B"/>
        <rFont val="맑은 고딕"/>
        <family val="0"/>
        <charset val="1"/>
      </rPr>
      <t xml:space="preserve">_</t>
    </r>
    <r>
      <rPr>
        <sz val="9"/>
        <color rgb="FF8A6D3B"/>
        <rFont val="Noto Sans CJK SC"/>
        <family val="2"/>
      </rPr>
      <t xml:space="preserve">파이프라인 시트의 입력값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스킬 계수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에 그대로 들어갑니다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예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비전 구체</t>
    </r>
    <r>
      <rPr>
        <sz val="9"/>
        <color rgb="FF8A6D3B"/>
        <rFont val="맑은 고딕"/>
        <family val="0"/>
        <charset val="1"/>
      </rPr>
      <t xml:space="preserve">(2.90</t>
    </r>
    <r>
      <rPr>
        <sz val="9"/>
        <color rgb="FF8A6D3B"/>
        <rFont val="Noto Sans CJK SC"/>
        <family val="2"/>
      </rPr>
      <t xml:space="preserve">배</t>
    </r>
    <r>
      <rPr>
        <sz val="9"/>
        <color rgb="FF8A6D3B"/>
        <rFont val="맑은 고딕"/>
        <family val="0"/>
        <charset val="1"/>
      </rPr>
      <t xml:space="preserve">) </t>
    </r>
    <r>
      <rPr>
        <sz val="9"/>
        <color rgb="FF8A6D3B"/>
        <rFont val="Noto Sans CJK SC"/>
        <family val="2"/>
      </rPr>
      <t xml:space="preserve">선택 시 스킬계수</t>
    </r>
    <r>
      <rPr>
        <sz val="9"/>
        <color rgb="FF8A6D3B"/>
        <rFont val="맑은 고딕"/>
        <family val="0"/>
        <charset val="1"/>
      </rPr>
      <t xml:space="preserve">=2.90 </t>
    </r>
    <r>
      <rPr>
        <sz val="9"/>
        <color rgb="FF8A6D3B"/>
        <rFont val="Noto Sans CJK SC"/>
        <family val="2"/>
      </rPr>
      <t xml:space="preserve">입력 → </t>
    </r>
    <r>
      <rPr>
        <sz val="9"/>
        <color rgb="FF8A6D3B"/>
        <rFont val="맑은 고딕"/>
        <family val="0"/>
        <charset val="1"/>
      </rPr>
      <t xml:space="preserve">1</t>
    </r>
    <r>
      <rPr>
        <sz val="9"/>
        <color rgb="FF8A6D3B"/>
        <rFont val="Noto Sans CJK SC"/>
        <family val="2"/>
      </rPr>
      <t xml:space="preserve">타 데미지 자동 계산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</si>
  <si>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생성기는 자원 소모가 없는 대신 계수가 낮고</t>
    </r>
    <r>
      <rPr>
        <sz val="9"/>
        <color rgb="FF8A6D3B"/>
        <rFont val="맑은 고딕"/>
        <family val="0"/>
        <charset val="1"/>
      </rPr>
      <t xml:space="preserve">(0.9~1.65</t>
    </r>
    <r>
      <rPr>
        <sz val="9"/>
        <color rgb="FF8A6D3B"/>
        <rFont val="Noto Sans CJK SC"/>
        <family val="2"/>
      </rPr>
      <t xml:space="preserve">배</t>
    </r>
    <r>
      <rPr>
        <sz val="9"/>
        <color rgb="FF8A6D3B"/>
        <rFont val="맑은 고딕"/>
        <family val="0"/>
        <charset val="1"/>
      </rPr>
      <t xml:space="preserve">), </t>
    </r>
    <r>
      <rPr>
        <sz val="9"/>
        <color rgb="FF8A6D3B"/>
        <rFont val="Noto Sans CJK SC"/>
        <family val="2"/>
      </rPr>
      <t xml:space="preserve">소비기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궁극기는 자원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쿨다운을 쓰는 대신 계수가 높습니다</t>
    </r>
    <r>
      <rPr>
        <sz val="9"/>
        <color rgb="FF8A6D3B"/>
        <rFont val="맑은 고딕"/>
        <family val="0"/>
        <charset val="1"/>
      </rPr>
      <t xml:space="preserve">(2.0~6.0</t>
    </r>
    <r>
      <rPr>
        <sz val="9"/>
        <color rgb="FF8A6D3B"/>
        <rFont val="Noto Sans CJK SC"/>
        <family val="2"/>
      </rPr>
      <t xml:space="preserve">배</t>
    </r>
    <r>
      <rPr>
        <sz val="9"/>
        <color rgb="FF8A6D3B"/>
        <rFont val="맑은 고딕"/>
        <family val="0"/>
        <charset val="1"/>
      </rPr>
      <t xml:space="preserve">). </t>
    </r>
    <r>
      <rPr>
        <sz val="9"/>
        <color rgb="FF8A6D3B"/>
        <rFont val="Noto Sans CJK SC"/>
        <family val="2"/>
      </rPr>
      <t xml:space="preserve">이 트레이드오프가 전투 리듬을 만듭니다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</si>
  <si>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Noto Sans CJK SC"/>
        <family val="2"/>
      </rPr>
      <t xml:space="preserve">⚠️ 사이드이펙트  계수만 보고 밸런싱하면 안 됩니다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쿨다운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자원소모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시전시간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광역여부를 함께 고려한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초당 실질 딜</t>
    </r>
    <r>
      <rPr>
        <sz val="9"/>
        <color rgb="FF8A6D3B"/>
        <rFont val="맑은 고딕"/>
        <family val="0"/>
        <charset val="1"/>
      </rPr>
      <t xml:space="preserve">(DPS)'</t>
    </r>
    <r>
      <rPr>
        <sz val="9"/>
        <color rgb="FF8A6D3B"/>
        <rFont val="Noto Sans CJK SC"/>
        <family val="2"/>
      </rPr>
      <t xml:space="preserve">로 비교해야 합니다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</si>
  <si>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6"/>
        <color rgb="FFC8A24B"/>
        <rFont val="맑은 고딕"/>
        <family val="0"/>
        <charset val="1"/>
      </rPr>
      <t xml:space="preserve">15. </t>
    </r>
    <r>
      <rPr>
        <b val="true"/>
        <sz val="16"/>
        <color rgb="FFC8A24B"/>
        <rFont val="Noto Sans CJK SC"/>
        <family val="2"/>
      </rPr>
      <t xml:space="preserve">스킬 룬 시스템 </t>
    </r>
    <r>
      <rPr>
        <b val="true"/>
        <sz val="16"/>
        <color rgb="FFC8A24B"/>
        <rFont val="맑은 고딕"/>
        <family val="0"/>
        <charset val="1"/>
      </rPr>
      <t xml:space="preserve">(</t>
    </r>
    <r>
      <rPr>
        <b val="true"/>
        <sz val="16"/>
        <color rgb="FFC8A24B"/>
        <rFont val="Noto Sans CJK SC"/>
        <family val="2"/>
      </rPr>
      <t xml:space="preserve">계산기</t>
    </r>
    <r>
      <rPr>
        <b val="true"/>
        <sz val="16"/>
        <color rgb="FFC8A24B"/>
        <rFont val="맑은 고딕"/>
        <family val="0"/>
        <charset val="1"/>
      </rPr>
      <t xml:space="preserve">)</t>
    </r>
  </si>
  <si>
    <r>
      <rPr>
        <i val="true"/>
        <sz val="9"/>
        <color rgb="FF6B5A40"/>
        <rFont val="Noto Sans CJK SC"/>
        <family val="2"/>
      </rPr>
      <t xml:space="preserve">각 액티브 스킬당 룬 </t>
    </r>
    <r>
      <rPr>
        <i val="true"/>
        <sz val="9"/>
        <color rgb="FF6B5A40"/>
        <rFont val="맑은 고딕"/>
        <family val="0"/>
        <charset val="1"/>
      </rPr>
      <t xml:space="preserve">5</t>
    </r>
    <r>
      <rPr>
        <i val="true"/>
        <sz val="9"/>
        <color rgb="FF6B5A40"/>
        <rFont val="Noto Sans CJK SC"/>
        <family val="2"/>
      </rPr>
      <t xml:space="preserve">종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룬이 스킬 효과</t>
    </r>
    <r>
      <rPr>
        <i val="true"/>
        <sz val="9"/>
        <color rgb="FF6B5A40"/>
        <rFont val="맑은 고딕"/>
        <family val="0"/>
        <charset val="1"/>
      </rPr>
      <t xml:space="preserve">/</t>
    </r>
    <r>
      <rPr>
        <i val="true"/>
        <sz val="9"/>
        <color rgb="FF6B5A40"/>
        <rFont val="Noto Sans CJK SC"/>
        <family val="2"/>
      </rPr>
      <t xml:space="preserve">계수를 변형 </t>
    </r>
    <r>
      <rPr>
        <i val="true"/>
        <sz val="9"/>
        <color rgb="FF6B5A40"/>
        <rFont val="맑은 고딕"/>
        <family val="0"/>
        <charset val="1"/>
      </rPr>
      <t xml:space="preserve">(Diablo III </t>
    </r>
    <r>
      <rPr>
        <i val="true"/>
        <sz val="9"/>
        <color rgb="FF6B5A40"/>
        <rFont val="Noto Sans CJK SC"/>
        <family val="2"/>
      </rPr>
      <t xml:space="preserve">기준</t>
    </r>
    <r>
      <rPr>
        <i val="true"/>
        <sz val="9"/>
        <color rgb="FF6B5A40"/>
        <rFont val="맑은 고딕"/>
        <family val="0"/>
        <charset val="1"/>
      </rPr>
      <t xml:space="preserve">)</t>
    </r>
  </si>
  <si>
    <r>
      <rPr>
        <b val="true"/>
        <sz val="11"/>
        <color rgb="FFF4ECDD"/>
        <rFont val="맑은 고딕"/>
        <family val="0"/>
        <charset val="1"/>
      </rPr>
      <t xml:space="preserve">15-1. </t>
    </r>
    <r>
      <rPr>
        <b val="true"/>
        <sz val="11"/>
        <color rgb="FFF4ECDD"/>
        <rFont val="Noto Sans CJK SC"/>
        <family val="2"/>
      </rPr>
      <t xml:space="preserve">룬 개념 </t>
    </r>
    <r>
      <rPr>
        <b val="true"/>
        <sz val="11"/>
        <color rgb="FFF4ECDD"/>
        <rFont val="맑은 고딕"/>
        <family val="0"/>
        <charset val="1"/>
      </rPr>
      <t xml:space="preserve">&amp; </t>
    </r>
    <r>
      <rPr>
        <b val="true"/>
        <sz val="11"/>
        <color rgb="FFF4ECDD"/>
        <rFont val="Noto Sans CJK SC"/>
        <family val="2"/>
      </rPr>
      <t xml:space="preserve">유형</t>
    </r>
  </si>
  <si>
    <t xml:space="preserve">룬 유형</t>
  </si>
  <si>
    <t xml:space="preserve">목적</t>
  </si>
  <si>
    <t xml:space="preserve">계수 영향</t>
  </si>
  <si>
    <t xml:space="preserve">대표 효과</t>
  </si>
  <si>
    <t xml:space="preserve">피해 증강</t>
  </si>
  <si>
    <t xml:space="preserve">순수 데미지 상승</t>
  </si>
  <si>
    <t xml:space="preserve">계수 ↑↑</t>
  </si>
  <si>
    <t xml:space="preserve">스킬 계수 대폭 증가</t>
  </si>
  <si>
    <t xml:space="preserve">광역화</t>
  </si>
  <si>
    <t xml:space="preserve">주황</t>
  </si>
  <si>
    <r>
      <rPr>
        <sz val="10"/>
        <color rgb="FF000000"/>
        <rFont val="Noto Sans CJK SC"/>
        <family val="2"/>
      </rPr>
      <t xml:space="preserve">범위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타격수 확대</t>
    </r>
  </si>
  <si>
    <t xml:space="preserve">계수 ↓ 범위 ↑</t>
  </si>
  <si>
    <t xml:space="preserve">단일→광역 전환</t>
  </si>
  <si>
    <t xml:space="preserve">자원 효율</t>
  </si>
  <si>
    <t xml:space="preserve">파랑</t>
  </si>
  <si>
    <r>
      <rPr>
        <sz val="10"/>
        <color rgb="FF000000"/>
        <rFont val="Noto Sans CJK SC"/>
        <family val="2"/>
      </rPr>
      <t xml:space="preserve">소모 감소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생성 증가</t>
    </r>
  </si>
  <si>
    <t xml:space="preserve">계수 유지</t>
  </si>
  <si>
    <t xml:space="preserve">지속 시전 가능</t>
  </si>
  <si>
    <r>
      <rPr>
        <b val="true"/>
        <sz val="10"/>
        <color rgb="FFC8A24B"/>
        <rFont val="Noto Sans CJK SC"/>
        <family val="2"/>
      </rPr>
      <t xml:space="preserve">유틸</t>
    </r>
    <r>
      <rPr>
        <b val="true"/>
        <sz val="10"/>
        <color rgb="FFC8A24B"/>
        <rFont val="맑은 고딕"/>
        <family val="0"/>
        <charset val="1"/>
      </rPr>
      <t xml:space="preserve">/</t>
    </r>
    <r>
      <rPr>
        <b val="true"/>
        <sz val="10"/>
        <color rgb="FFC8A24B"/>
        <rFont val="Noto Sans CJK SC"/>
        <family val="2"/>
      </rPr>
      <t xml:space="preserve">제어</t>
    </r>
  </si>
  <si>
    <t xml:space="preserve">초록</t>
  </si>
  <si>
    <r>
      <rPr>
        <sz val="10"/>
        <color rgb="FF000000"/>
        <rFont val="Noto Sans CJK SC"/>
        <family val="2"/>
      </rPr>
      <t xml:space="preserve">둔화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기절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이동</t>
    </r>
  </si>
  <si>
    <t xml:space="preserve">계수 ↓</t>
  </si>
  <si>
    <t xml:space="preserve">군중 제어 부여</t>
  </si>
  <si>
    <t xml:space="preserve">특수 변형</t>
  </si>
  <si>
    <t xml:space="preserve">보라</t>
  </si>
  <si>
    <t xml:space="preserve">스킬 메커니즘 자체 변경</t>
  </si>
  <si>
    <t xml:space="preserve">상황별</t>
  </si>
  <si>
    <r>
      <rPr>
        <sz val="10"/>
        <color rgb="FF000000"/>
        <rFont val="Noto Sans CJK SC"/>
        <family val="2"/>
      </rPr>
      <t xml:space="preserve">원소 변경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추적 등</t>
    </r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</si>
  <si>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규칙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각 액티브 스킬은 </t>
    </r>
    <r>
      <rPr>
        <sz val="9"/>
        <color rgb="FF8A6D3B"/>
        <rFont val="맑은 고딕"/>
        <family val="0"/>
        <charset val="1"/>
      </rPr>
      <t xml:space="preserve">5</t>
    </r>
    <r>
      <rPr>
        <sz val="9"/>
        <color rgb="FF8A6D3B"/>
        <rFont val="Noto Sans CJK SC"/>
        <family val="2"/>
      </rPr>
      <t xml:space="preserve">개의 룬을 가지며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룬은 캐릭터 레벨에 따라 순차 해금됩니다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한 번에 </t>
    </r>
    <r>
      <rPr>
        <sz val="9"/>
        <color rgb="FF8A6D3B"/>
        <rFont val="맑은 고딕"/>
        <family val="0"/>
        <charset val="1"/>
      </rPr>
      <t xml:space="preserve">1</t>
    </r>
    <r>
      <rPr>
        <sz val="9"/>
        <color rgb="FF8A6D3B"/>
        <rFont val="Noto Sans CJK SC"/>
        <family val="2"/>
      </rPr>
      <t xml:space="preserve">개 룬만 장착하며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같은 스킬도 룬에 따라 완전히 다른 플레이가 됩니다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</si>
  <si>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1"/>
        <color rgb="FFF4ECDD"/>
        <rFont val="맑은 고딕"/>
        <family val="0"/>
        <charset val="1"/>
      </rPr>
      <t xml:space="preserve">15-2. </t>
    </r>
    <r>
      <rPr>
        <b val="true"/>
        <sz val="11"/>
        <color rgb="FFF4ECDD"/>
        <rFont val="Noto Sans CJK SC"/>
        <family val="2"/>
      </rPr>
      <t xml:space="preserve">룬 적용 예시 — </t>
    </r>
    <r>
      <rPr>
        <b val="true"/>
        <sz val="11"/>
        <color rgb="FFF4ECDD"/>
        <rFont val="맑은 고딕"/>
        <family val="0"/>
        <charset val="1"/>
      </rPr>
      <t xml:space="preserve">'</t>
    </r>
    <r>
      <rPr>
        <b val="true"/>
        <sz val="11"/>
        <color rgb="FFF4ECDD"/>
        <rFont val="Noto Sans CJK SC"/>
        <family val="2"/>
      </rPr>
      <t xml:space="preserve">비전 구체</t>
    </r>
    <r>
      <rPr>
        <b val="true"/>
        <sz val="11"/>
        <color rgb="FFF4ECDD"/>
        <rFont val="맑은 고딕"/>
        <family val="0"/>
        <charset val="1"/>
      </rPr>
      <t xml:space="preserve">'(</t>
    </r>
    <r>
      <rPr>
        <b val="true"/>
        <sz val="11"/>
        <color rgb="FFF4ECDD"/>
        <rFont val="Noto Sans CJK SC"/>
        <family val="2"/>
      </rPr>
      <t xml:space="preserve">기본 계수 </t>
    </r>
    <r>
      <rPr>
        <b val="true"/>
        <sz val="11"/>
        <color rgb="FFF4ECDD"/>
        <rFont val="맑은 고딕"/>
        <family val="0"/>
        <charset val="1"/>
      </rPr>
      <t xml:space="preserve">2.90</t>
    </r>
    <r>
      <rPr>
        <b val="true"/>
        <sz val="11"/>
        <color rgb="FFF4ECDD"/>
        <rFont val="Noto Sans CJK SC"/>
        <family val="2"/>
      </rPr>
      <t xml:space="preserve">배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</si>
  <si>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룬 이름</t>
  </si>
  <si>
    <t xml:space="preserve">계수 보정</t>
  </si>
  <si>
    <t xml:space="preserve">효과 설명</t>
  </si>
  <si>
    <r>
      <rPr>
        <b val="true"/>
        <sz val="10"/>
        <color rgb="FFC8A24B"/>
        <rFont val="맑은 고딕"/>
        <family val="0"/>
        <charset val="1"/>
      </rPr>
      <t xml:space="preserve">(</t>
    </r>
    <r>
      <rPr>
        <b val="true"/>
        <sz val="10"/>
        <color rgb="FFC8A24B"/>
        <rFont val="Noto Sans CJK SC"/>
        <family val="2"/>
      </rPr>
      <t xml:space="preserve">룬 없음</t>
    </r>
    <r>
      <rPr>
        <b val="true"/>
        <sz val="10"/>
        <color rgb="FFC8A24B"/>
        <rFont val="맑은 고딕"/>
        <family val="0"/>
        <charset val="1"/>
      </rPr>
      <t xml:space="preserve">)</t>
    </r>
  </si>
  <si>
    <t xml:space="preserve">기본</t>
  </si>
  <si>
    <r>
      <rPr>
        <sz val="10"/>
        <color rgb="FF000000"/>
        <rFont val="Noto Sans CJK SC"/>
        <family val="2"/>
      </rPr>
      <t xml:space="preserve">기본 비전 구체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관통 폭발</t>
    </r>
  </si>
  <si>
    <t xml:space="preserve">소멸</t>
  </si>
  <si>
    <r>
      <rPr>
        <sz val="10"/>
        <color rgb="FF000000"/>
        <rFont val="Noto Sans CJK SC"/>
        <family val="2"/>
      </rPr>
      <t xml:space="preserve">폭발 범위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데미지 대폭 증가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자원소모 ↑</t>
    </r>
  </si>
  <si>
    <t xml:space="preserve">불꽃</t>
  </si>
  <si>
    <r>
      <rPr>
        <sz val="10"/>
        <color rgb="FF000000"/>
        <rFont val="Noto Sans CJK SC"/>
        <family val="2"/>
      </rPr>
      <t xml:space="preserve">작은 구체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개 분산 발사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다중 타격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</si>
  <si>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그을림</t>
  </si>
  <si>
    <r>
      <rPr>
        <sz val="10"/>
        <color rgb="FF000000"/>
        <rFont val="Noto Sans CJK SC"/>
        <family val="2"/>
      </rPr>
      <t xml:space="preserve">비전력 소모 </t>
    </r>
    <r>
      <rPr>
        <sz val="10"/>
        <color rgb="FF000000"/>
        <rFont val="맑은 고딕"/>
        <family val="0"/>
        <charset val="1"/>
      </rPr>
      <t xml:space="preserve">30→15 </t>
    </r>
    <r>
      <rPr>
        <sz val="10"/>
        <color rgb="FF000000"/>
        <rFont val="Noto Sans CJK SC"/>
        <family val="2"/>
      </rPr>
      <t xml:space="preserve">절반</t>
    </r>
  </si>
  <si>
    <t xml:space="preserve">냉기 구체</t>
  </si>
  <si>
    <r>
      <rPr>
        <sz val="10"/>
        <color rgb="FF000000"/>
        <rFont val="Noto Sans CJK SC"/>
        <family val="2"/>
      </rPr>
      <t xml:space="preserve">냉기 속성 전환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적중 시 빙결</t>
    </r>
  </si>
  <si>
    <t xml:space="preserve">비전 궤도</t>
  </si>
  <si>
    <r>
      <rPr>
        <sz val="10"/>
        <color rgb="FF000000"/>
        <rFont val="Noto Sans CJK SC"/>
        <family val="2"/>
      </rPr>
      <t xml:space="preserve">유틸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제어</t>
    </r>
  </si>
  <si>
    <r>
      <rPr>
        <sz val="10"/>
        <color rgb="FF000000"/>
        <rFont val="Noto Sans CJK SC"/>
        <family val="2"/>
      </rPr>
      <t xml:space="preserve">주위를 도는 궤도 구체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지속 광역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</si>
  <si>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F4ECDD"/>
        <rFont val="맑은 고딕"/>
        <family val="0"/>
        <charset val="1"/>
      </rPr>
      <t xml:space="preserve">15-3. </t>
    </r>
    <r>
      <rPr>
        <b val="true"/>
        <sz val="11"/>
        <color rgb="FFF4ECDD"/>
        <rFont val="Noto Sans CJK SC"/>
        <family val="2"/>
      </rPr>
      <t xml:space="preserve">룬별 </t>
    </r>
    <r>
      <rPr>
        <b val="true"/>
        <sz val="11"/>
        <color rgb="FFF4ECDD"/>
        <rFont val="맑은 고딕"/>
        <family val="0"/>
        <charset val="1"/>
      </rPr>
      <t xml:space="preserve">1</t>
    </r>
    <r>
      <rPr>
        <b val="true"/>
        <sz val="11"/>
        <color rgb="FFF4ECDD"/>
        <rFont val="Noto Sans CJK SC"/>
        <family val="2"/>
      </rPr>
      <t xml:space="preserve">타 데미지 계산기</t>
    </r>
  </si>
  <si>
    <r>
      <rPr>
        <b val="true"/>
        <sz val="10"/>
        <color rgb="FFF4ECDD"/>
        <rFont val="Noto Sans CJK SC"/>
        <family val="2"/>
      </rPr>
      <t xml:space="preserve">입력</t>
    </r>
    <r>
      <rPr>
        <b val="true"/>
        <sz val="10"/>
        <color rgb="FFF4ECDD"/>
        <rFont val="맑은 고딕"/>
        <family val="0"/>
        <charset val="1"/>
      </rPr>
      <t xml:space="preserve">/</t>
    </r>
    <r>
      <rPr>
        <b val="true"/>
        <sz val="10"/>
        <color rgb="FFF4ECDD"/>
        <rFont val="Noto Sans CJK SC"/>
        <family val="2"/>
      </rPr>
      <t xml:space="preserve">룬</t>
    </r>
  </si>
  <si>
    <t xml:space="preserve">계수</t>
  </si>
  <si>
    <r>
      <rPr>
        <b val="true"/>
        <sz val="10"/>
        <color rgb="FFF4ECDD"/>
        <rFont val="맑은 고딕"/>
        <family val="0"/>
        <charset val="1"/>
      </rPr>
      <t xml:space="preserve">1</t>
    </r>
    <r>
      <rPr>
        <b val="true"/>
        <sz val="10"/>
        <color rgb="FFF4ECDD"/>
        <rFont val="Noto Sans CJK SC"/>
        <family val="2"/>
      </rPr>
      <t xml:space="preserve">타 데미지</t>
    </r>
  </si>
  <si>
    <r>
      <rPr>
        <b val="true"/>
        <sz val="10"/>
        <color rgb="FFF4ECDD"/>
        <rFont val="Noto Sans CJK SC"/>
        <family val="2"/>
      </rPr>
      <t xml:space="preserve">증감율</t>
    </r>
    <r>
      <rPr>
        <b val="true"/>
        <sz val="10"/>
        <color rgb="FFF4ECDD"/>
        <rFont val="맑은 고딕"/>
        <family val="0"/>
        <charset val="1"/>
      </rPr>
      <t xml:space="preserve">(</t>
    </r>
    <r>
      <rPr>
        <b val="true"/>
        <sz val="10"/>
        <color rgb="FFF4ECDD"/>
        <rFont val="Noto Sans CJK SC"/>
        <family val="2"/>
      </rPr>
      <t xml:space="preserve">기본대비</t>
    </r>
    <r>
      <rPr>
        <b val="true"/>
        <sz val="10"/>
        <color rgb="FFF4ECDD"/>
        <rFont val="맑은 고딕"/>
        <family val="0"/>
        <charset val="1"/>
      </rPr>
      <t xml:space="preserve">)</t>
    </r>
  </si>
  <si>
    <t xml:space="preserve">기준 베이스 데미지</t>
  </si>
  <si>
    <t xml:space="preserve">입력→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</si>
  <si>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스킬계수 적용 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타 피해</t>
    </r>
    <r>
      <rPr>
        <sz val="10"/>
        <color rgb="FF000000"/>
        <rFont val="맑은 고딕"/>
        <family val="0"/>
        <charset val="1"/>
      </rPr>
      <t xml:space="preserve">. 3.</t>
    </r>
    <r>
      <rPr>
        <sz val="10"/>
        <color rgb="FF000000"/>
        <rFont val="Noto Sans CJK SC"/>
        <family val="2"/>
      </rPr>
      <t xml:space="preserve">데미지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파이프라인 ⑥단계 값 권장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</si>
  <si>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베이스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룬 계수</t>
    </r>
  </si>
  <si>
    <r>
      <rPr>
        <sz val="9"/>
        <color rgb="FF8A6D3B"/>
        <rFont val="Noto Sans CJK SC"/>
        <family val="2"/>
      </rPr>
      <t xml:space="preserve">🔆 중요  룬은 계수만 바꾸는 게 아닙니다</t>
    </r>
    <r>
      <rPr>
        <sz val="9"/>
        <color rgb="FF8A6D3B"/>
        <rFont val="맑은 고딕"/>
        <family val="0"/>
        <charset val="1"/>
      </rPr>
      <t xml:space="preserve">. '</t>
    </r>
    <r>
      <rPr>
        <sz val="9"/>
        <color rgb="FF8A6D3B"/>
        <rFont val="Noto Sans CJK SC"/>
        <family val="2"/>
      </rPr>
      <t xml:space="preserve">불꽃</t>
    </r>
    <r>
      <rPr>
        <sz val="9"/>
        <color rgb="FF8A6D3B"/>
        <rFont val="맑은 고딕"/>
        <family val="0"/>
        <charset val="1"/>
      </rPr>
      <t xml:space="preserve">'(</t>
    </r>
    <r>
      <rPr>
        <sz val="9"/>
        <color rgb="FF8A6D3B"/>
        <rFont val="Noto Sans CJK SC"/>
        <family val="2"/>
      </rPr>
      <t xml:space="preserve">계수 </t>
    </r>
    <r>
      <rPr>
        <sz val="9"/>
        <color rgb="FF8A6D3B"/>
        <rFont val="맑은 고딕"/>
        <family val="0"/>
        <charset val="1"/>
      </rPr>
      <t xml:space="preserve">2.20)</t>
    </r>
    <r>
      <rPr>
        <sz val="9"/>
        <color rgb="FF8A6D3B"/>
        <rFont val="Noto Sans CJK SC"/>
        <family val="2"/>
      </rPr>
      <t xml:space="preserve">은 단일 계수는 낮지만 </t>
    </r>
    <r>
      <rPr>
        <sz val="9"/>
        <color rgb="FF8A6D3B"/>
        <rFont val="맑은 고딕"/>
        <family val="0"/>
        <charset val="1"/>
      </rPr>
      <t xml:space="preserve">3</t>
    </r>
    <r>
      <rPr>
        <sz val="9"/>
        <color rgb="FF8A6D3B"/>
        <rFont val="Noto Sans CJK SC"/>
        <family val="2"/>
      </rPr>
      <t xml:space="preserve">개를 던져 광역 총합 딜은 더 높을 수 있습니다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단일 보스전 </t>
    </r>
    <r>
      <rPr>
        <sz val="9"/>
        <color rgb="FF8A6D3B"/>
        <rFont val="맑은 고딕"/>
        <family val="0"/>
        <charset val="1"/>
      </rPr>
      <t xml:space="preserve">vs </t>
    </r>
    <r>
      <rPr>
        <sz val="9"/>
        <color rgb="FF8A6D3B"/>
        <rFont val="Noto Sans CJK SC"/>
        <family val="2"/>
      </rPr>
      <t xml:space="preserve">다수 잡몹전에서 최적 룬이 달라집니다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</si>
  <si>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Noto Sans CJK SC"/>
        <family val="2"/>
      </rPr>
      <t xml:space="preserve">⚠️ 사이드이펙트  룬 계수는 입력값입니다</t>
    </r>
    <r>
      <rPr>
        <sz val="9"/>
        <color rgb="FF8A6D3B"/>
        <rFont val="맑은 고딕"/>
        <family val="0"/>
        <charset val="1"/>
      </rPr>
      <t xml:space="preserve">. '</t>
    </r>
    <r>
      <rPr>
        <sz val="9"/>
        <color rgb="FF8A6D3B"/>
        <rFont val="Noto Sans CJK SC"/>
        <family val="2"/>
      </rPr>
      <t xml:space="preserve">소멸</t>
    </r>
    <r>
      <rPr>
        <sz val="9"/>
        <color rgb="FF8A6D3B"/>
        <rFont val="맑은 고딕"/>
        <family val="0"/>
        <charset val="1"/>
      </rPr>
      <t xml:space="preserve">' </t>
    </r>
    <r>
      <rPr>
        <sz val="9"/>
        <color rgb="FF8A6D3B"/>
        <rFont val="Noto Sans CJK SC"/>
        <family val="2"/>
      </rPr>
      <t xml:space="preserve">같은 피해증강 룬을 너무 높이면 다른 룬이 사장됩니다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룬 간 사용률이 고르도록 계수</t>
    </r>
    <r>
      <rPr>
        <sz val="9"/>
        <color rgb="FF8A6D3B"/>
        <rFont val="맑은 고딕"/>
        <family val="0"/>
        <charset val="1"/>
      </rPr>
      <t xml:space="preserve">+</t>
    </r>
    <r>
      <rPr>
        <sz val="9"/>
        <color rgb="FF8A6D3B"/>
        <rFont val="Noto Sans CJK SC"/>
        <family val="2"/>
      </rPr>
      <t xml:space="preserve">부가효과를 함께 조정하세요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</si>
  <si>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6"/>
        <color rgb="FFC8A24B"/>
        <rFont val="맑은 고딕"/>
        <family val="0"/>
        <charset val="1"/>
      </rPr>
      <t xml:space="preserve">16. </t>
    </r>
    <r>
      <rPr>
        <b val="true"/>
        <sz val="16"/>
        <color rgb="FFC8A24B"/>
        <rFont val="Noto Sans CJK SC"/>
        <family val="2"/>
      </rPr>
      <t xml:space="preserve">패시브 스킬</t>
    </r>
  </si>
  <si>
    <r>
      <rPr>
        <i val="true"/>
        <sz val="9"/>
        <color rgb="FF6B5A40"/>
        <rFont val="Noto Sans CJK SC"/>
        <family val="2"/>
      </rPr>
      <t xml:space="preserve">상시 적용 강화 효과 </t>
    </r>
    <r>
      <rPr>
        <i val="true"/>
        <sz val="9"/>
        <color rgb="FF6B5A40"/>
        <rFont val="맑은 고딕"/>
        <family val="0"/>
        <charset val="1"/>
      </rPr>
      <t xml:space="preserve">· 4</t>
    </r>
    <r>
      <rPr>
        <i val="true"/>
        <sz val="9"/>
        <color rgb="FF6B5A40"/>
        <rFont val="Noto Sans CJK SC"/>
        <family val="2"/>
      </rPr>
      <t xml:space="preserve">슬롯 </t>
    </r>
    <r>
      <rPr>
        <i val="true"/>
        <sz val="9"/>
        <color rgb="FF6B5A40"/>
        <rFont val="맑은 고딕"/>
        <family val="0"/>
        <charset val="1"/>
      </rPr>
      <t xml:space="preserve">(</t>
    </r>
    <r>
      <rPr>
        <i val="true"/>
        <sz val="9"/>
        <color rgb="FF6B5A40"/>
        <rFont val="Noto Sans CJK SC"/>
        <family val="2"/>
      </rPr>
      <t xml:space="preserve">레벨 </t>
    </r>
    <r>
      <rPr>
        <i val="true"/>
        <sz val="9"/>
        <color rgb="FF6B5A40"/>
        <rFont val="맑은 고딕"/>
        <family val="0"/>
        <charset val="1"/>
      </rPr>
      <t xml:space="preserve">10/20/30/70 </t>
    </r>
    <r>
      <rPr>
        <i val="true"/>
        <sz val="9"/>
        <color rgb="FF6B5A40"/>
        <rFont val="Noto Sans CJK SC"/>
        <family val="2"/>
      </rPr>
      <t xml:space="preserve">해금</t>
    </r>
    <r>
      <rPr>
        <i val="true"/>
        <sz val="9"/>
        <color rgb="FF6B5A40"/>
        <rFont val="맑은 고딕"/>
        <family val="0"/>
        <charset val="1"/>
      </rPr>
      <t xml:space="preserve">)</t>
    </r>
  </si>
  <si>
    <r>
      <rPr>
        <b val="true"/>
        <sz val="11"/>
        <color rgb="FFF4ECDD"/>
        <rFont val="맑은 고딕"/>
        <family val="0"/>
        <charset val="1"/>
      </rPr>
      <t xml:space="preserve">16-1. </t>
    </r>
    <r>
      <rPr>
        <b val="true"/>
        <sz val="11"/>
        <color rgb="FFF4ECDD"/>
        <rFont val="Noto Sans CJK SC"/>
        <family val="2"/>
      </rPr>
      <t xml:space="preserve">패시브 슬롯 규칙</t>
    </r>
  </si>
  <si>
    <r>
      <rPr>
        <b val="true"/>
        <sz val="10"/>
        <color rgb="FFC8A24B"/>
        <rFont val="맑은 고딕"/>
        <family val="0"/>
        <charset val="1"/>
      </rPr>
      <t xml:space="preserve">1</t>
    </r>
    <r>
      <rPr>
        <b val="true"/>
        <sz val="10"/>
        <color rgb="FFC8A24B"/>
        <rFont val="Noto Sans CJK SC"/>
        <family val="2"/>
      </rPr>
      <t xml:space="preserve">번</t>
    </r>
  </si>
  <si>
    <t xml:space="preserve">첫 패시브 해금</t>
  </si>
  <si>
    <r>
      <rPr>
        <b val="true"/>
        <sz val="10"/>
        <color rgb="FFC8A24B"/>
        <rFont val="맑은 고딕"/>
        <family val="0"/>
        <charset val="1"/>
      </rPr>
      <t xml:space="preserve">2</t>
    </r>
    <r>
      <rPr>
        <b val="true"/>
        <sz val="10"/>
        <color rgb="FFC8A24B"/>
        <rFont val="Noto Sans CJK SC"/>
        <family val="2"/>
      </rPr>
      <t xml:space="preserve">번</t>
    </r>
  </si>
  <si>
    <t xml:space="preserve">두 번째 패시브</t>
  </si>
  <si>
    <r>
      <rPr>
        <b val="true"/>
        <sz val="10"/>
        <color rgb="FFC8A24B"/>
        <rFont val="맑은 고딕"/>
        <family val="0"/>
        <charset val="1"/>
      </rPr>
      <t xml:space="preserve">3</t>
    </r>
    <r>
      <rPr>
        <b val="true"/>
        <sz val="10"/>
        <color rgb="FFC8A24B"/>
        <rFont val="Noto Sans CJK SC"/>
        <family val="2"/>
      </rPr>
      <t xml:space="preserve">번</t>
    </r>
  </si>
  <si>
    <t xml:space="preserve">세 번째 패시브</t>
  </si>
  <si>
    <r>
      <rPr>
        <b val="true"/>
        <sz val="10"/>
        <color rgb="FFC8A24B"/>
        <rFont val="맑은 고딕"/>
        <family val="0"/>
        <charset val="1"/>
      </rPr>
      <t xml:space="preserve">4</t>
    </r>
    <r>
      <rPr>
        <b val="true"/>
        <sz val="10"/>
        <color rgb="FFC8A24B"/>
        <rFont val="Noto Sans CJK SC"/>
        <family val="2"/>
      </rPr>
      <t xml:space="preserve">번</t>
    </r>
  </si>
  <si>
    <t xml:space="preserve">만렙 보상 슬롯</t>
  </si>
  <si>
    <r>
      <rPr>
        <b val="true"/>
        <sz val="11"/>
        <color rgb="FFF4ECDD"/>
        <rFont val="맑은 고딕"/>
        <family val="0"/>
        <charset val="1"/>
      </rPr>
      <t xml:space="preserve">16-2. </t>
    </r>
    <r>
      <rPr>
        <b val="true"/>
        <sz val="11"/>
        <color rgb="FFF4ECDD"/>
        <rFont val="Noto Sans CJK SC"/>
        <family val="2"/>
      </rPr>
      <t xml:space="preserve">패시브 스킬 목록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마법사 예시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</si>
  <si>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패시브명</t>
  </si>
  <si>
    <t xml:space="preserve">진화의 인도</t>
  </si>
  <si>
    <t xml:space="preserve">딜</t>
  </si>
  <si>
    <r>
      <rPr>
        <sz val="10"/>
        <color rgb="FF000000"/>
        <rFont val="Noto Sans CJK SC"/>
        <family val="2"/>
      </rPr>
      <t xml:space="preserve">비전력 가득 찼을 때 데미지 </t>
    </r>
    <r>
      <rPr>
        <sz val="10"/>
        <color rgb="FF000000"/>
        <rFont val="맑은 고딕"/>
        <family val="0"/>
        <charset val="1"/>
      </rPr>
      <t xml:space="preserve">+20%</t>
    </r>
  </si>
  <si>
    <t xml:space="preserve">전투 숙련</t>
  </si>
  <si>
    <r>
      <rPr>
        <sz val="10"/>
        <color rgb="FF000000"/>
        <rFont val="Noto Sans CJK SC"/>
        <family val="2"/>
      </rPr>
      <t xml:space="preserve">치명타 확률 </t>
    </r>
    <r>
      <rPr>
        <sz val="10"/>
        <color rgb="FF000000"/>
        <rFont val="맑은 고딕"/>
        <family val="0"/>
        <charset val="1"/>
      </rPr>
      <t xml:space="preserve">+5%</t>
    </r>
  </si>
  <si>
    <t xml:space="preserve">냉정</t>
  </si>
  <si>
    <t xml:space="preserve">생존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</si>
  <si>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초간 피격 없으면 피해감소 </t>
    </r>
    <r>
      <rPr>
        <sz val="10"/>
        <color rgb="FF000000"/>
        <rFont val="맑은 고딕"/>
        <family val="0"/>
        <charset val="1"/>
      </rPr>
      <t xml:space="preserve">+30%</t>
    </r>
  </si>
  <si>
    <t xml:space="preserve">폭발 정수</t>
  </si>
  <si>
    <r>
      <rPr>
        <sz val="10"/>
        <color rgb="FF000000"/>
        <rFont val="Noto Sans CJK SC"/>
        <family val="2"/>
      </rPr>
      <t xml:space="preserve">적 처치 시 다음 스킬 자원소모 </t>
    </r>
    <r>
      <rPr>
        <sz val="10"/>
        <color rgb="FF000000"/>
        <rFont val="맑은 고딕"/>
        <family val="0"/>
        <charset val="1"/>
      </rPr>
      <t xml:space="preserve">0</t>
    </r>
  </si>
  <si>
    <t xml:space="preserve">심사숙고</t>
  </si>
  <si>
    <t xml:space="preserve">24</t>
  </si>
  <si>
    <t xml:space="preserve">자원</t>
  </si>
  <si>
    <r>
      <rPr>
        <sz val="10"/>
        <color rgb="FF000000"/>
        <rFont val="Noto Sans CJK SC"/>
        <family val="2"/>
      </rPr>
      <t xml:space="preserve">비전력 재생 </t>
    </r>
    <r>
      <rPr>
        <sz val="10"/>
        <color rgb="FF000000"/>
        <rFont val="맑은 고딕"/>
        <family val="0"/>
        <charset val="1"/>
      </rPr>
      <t xml:space="preserve">+2.5/</t>
    </r>
    <r>
      <rPr>
        <sz val="10"/>
        <color rgb="FF000000"/>
        <rFont val="Noto Sans CJK SC"/>
        <family val="2"/>
      </rPr>
      <t xml:space="preserve">초</t>
    </r>
  </si>
  <si>
    <t xml:space="preserve">환상의 명인</t>
  </si>
  <si>
    <t xml:space="preserve">26</t>
  </si>
  <si>
    <r>
      <rPr>
        <sz val="10"/>
        <color rgb="FF000000"/>
        <rFont val="Noto Sans CJK SC"/>
        <family val="2"/>
      </rPr>
      <t xml:space="preserve">수경 분신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방어 지속시간 </t>
    </r>
    <r>
      <rPr>
        <sz val="10"/>
        <color rgb="FF000000"/>
        <rFont val="맑은 고딕"/>
        <family val="0"/>
        <charset val="1"/>
      </rPr>
      <t xml:space="preserve">+200%</t>
    </r>
  </si>
  <si>
    <t xml:space="preserve">원소 노출</t>
  </si>
  <si>
    <r>
      <rPr>
        <sz val="10"/>
        <color rgb="FF000000"/>
        <rFont val="Noto Sans CJK SC"/>
        <family val="2"/>
      </rPr>
      <t xml:space="preserve">원소 피해 적중 시 대상 받는피해 </t>
    </r>
    <r>
      <rPr>
        <sz val="10"/>
        <color rgb="FF000000"/>
        <rFont val="맑은 고딕"/>
        <family val="0"/>
        <charset val="1"/>
      </rPr>
      <t xml:space="preserve">+5%(</t>
    </r>
    <r>
      <rPr>
        <sz val="10"/>
        <color rgb="FF000000"/>
        <rFont val="Noto Sans CJK SC"/>
        <family val="2"/>
      </rPr>
      <t xml:space="preserve">중첩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</si>
  <si>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마법 친화</t>
  </si>
  <si>
    <t xml:space="preserve">비전력 비례 보호막 상시 유지</t>
  </si>
  <si>
    <t xml:space="preserve">천체의 힘</t>
  </si>
  <si>
    <t xml:space="preserve">연속 피격 시 받는 피해 점감</t>
  </si>
  <si>
    <t xml:space="preserve">심판의 가속</t>
  </si>
  <si>
    <t xml:space="preserve">45</t>
  </si>
  <si>
    <r>
      <rPr>
        <sz val="10"/>
        <color rgb="FF000000"/>
        <rFont val="Noto Sans CJK SC"/>
        <family val="2"/>
      </rPr>
      <t xml:space="preserve">치명타 시 쿨다운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감소</t>
    </r>
  </si>
  <si>
    <t xml:space="preserve">무모함</t>
  </si>
  <si>
    <t xml:space="preserve">50</t>
  </si>
  <si>
    <r>
      <rPr>
        <sz val="10"/>
        <color rgb="FF000000"/>
        <rFont val="Noto Sans CJK SC"/>
        <family val="2"/>
      </rPr>
      <t xml:space="preserve">생명력 </t>
    </r>
    <r>
      <rPr>
        <sz val="10"/>
        <color rgb="FF000000"/>
        <rFont val="맑은 고딕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미만 시 데미지 </t>
    </r>
    <r>
      <rPr>
        <sz val="10"/>
        <color rgb="FF000000"/>
        <rFont val="맑은 고딕"/>
        <family val="0"/>
        <charset val="1"/>
      </rPr>
      <t xml:space="preserve">+25%</t>
    </r>
  </si>
  <si>
    <t xml:space="preserve">힘의 고리</t>
  </si>
  <si>
    <t xml:space="preserve">55</t>
  </si>
  <si>
    <r>
      <rPr>
        <sz val="10"/>
        <color rgb="FF000000"/>
        <rFont val="Noto Sans CJK SC"/>
        <family val="2"/>
      </rPr>
      <t xml:space="preserve">처치 시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초간 데미지 </t>
    </r>
    <r>
      <rPr>
        <sz val="10"/>
        <color rgb="FF000000"/>
        <rFont val="맑은 고딕"/>
        <family val="0"/>
        <charset val="1"/>
      </rPr>
      <t xml:space="preserve">+3%(</t>
    </r>
    <r>
      <rPr>
        <sz val="10"/>
        <color rgb="FF000000"/>
        <rFont val="Noto Sans CJK SC"/>
        <family val="2"/>
      </rPr>
      <t xml:space="preserve">중첩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</si>
  <si>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정신 집중</t>
  </si>
  <si>
    <t xml:space="preserve">60</t>
  </si>
  <si>
    <r>
      <rPr>
        <sz val="10"/>
        <color rgb="FF000000"/>
        <rFont val="Noto Sans CJK SC"/>
        <family val="2"/>
      </rPr>
      <t xml:space="preserve">최대 비전력 </t>
    </r>
    <r>
      <rPr>
        <sz val="10"/>
        <color rgb="FF000000"/>
        <rFont val="맑은 고딕"/>
        <family val="0"/>
        <charset val="1"/>
      </rPr>
      <t xml:space="preserve">+20</t>
    </r>
  </si>
  <si>
    <t xml:space="preserve">원소 조화</t>
  </si>
  <si>
    <t xml:space="preserve">63</t>
  </si>
  <si>
    <r>
      <rPr>
        <sz val="10"/>
        <color rgb="FF000000"/>
        <rFont val="Noto Sans CJK SC"/>
        <family val="2"/>
      </rPr>
      <t xml:space="preserve">최근 사용 원소 저항 </t>
    </r>
    <r>
      <rPr>
        <sz val="10"/>
        <color rgb="FF000000"/>
        <rFont val="맑은 고딕"/>
        <family val="0"/>
        <charset val="1"/>
      </rPr>
      <t xml:space="preserve">+40%</t>
    </r>
  </si>
  <si>
    <t xml:space="preserve">불굴</t>
  </si>
  <si>
    <t xml:space="preserve">66</t>
  </si>
  <si>
    <r>
      <rPr>
        <sz val="10"/>
        <color rgb="FF000000"/>
        <rFont val="Noto Sans CJK SC"/>
        <family val="2"/>
      </rPr>
      <t xml:space="preserve">받는 군중제어 시간 </t>
    </r>
    <r>
      <rPr>
        <sz val="10"/>
        <color rgb="FF000000"/>
        <rFont val="맑은 고딕"/>
        <family val="0"/>
        <charset val="1"/>
      </rPr>
      <t xml:space="preserve">-40%</t>
    </r>
  </si>
  <si>
    <t xml:space="preserve">절정의 각성</t>
  </si>
  <si>
    <r>
      <rPr>
        <sz val="10"/>
        <color rgb="FF000000"/>
        <rFont val="Noto Sans CJK SC"/>
        <family val="2"/>
      </rPr>
      <t xml:space="preserve">주스탯 </t>
    </r>
    <r>
      <rPr>
        <sz val="10"/>
        <color rgb="FF000000"/>
        <rFont val="맑은 고딕"/>
        <family val="0"/>
        <charset val="1"/>
      </rPr>
      <t xml:space="preserve">+10%</t>
    </r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</si>
  <si>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패시브는 </t>
    </r>
    <r>
      <rPr>
        <sz val="9"/>
        <color rgb="FF8A6D3B"/>
        <rFont val="맑은 고딕"/>
        <family val="0"/>
        <charset val="1"/>
      </rPr>
      <t xml:space="preserve">4</t>
    </r>
    <r>
      <rPr>
        <sz val="9"/>
        <color rgb="FF8A6D3B"/>
        <rFont val="Noto Sans CJK SC"/>
        <family val="2"/>
      </rPr>
      <t xml:space="preserve">슬롯만 선택 가능하므로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딜 </t>
    </r>
    <r>
      <rPr>
        <sz val="9"/>
        <color rgb="FF8A6D3B"/>
        <rFont val="맑은 고딕"/>
        <family val="0"/>
        <charset val="1"/>
      </rPr>
      <t xml:space="preserve">vs </t>
    </r>
    <r>
      <rPr>
        <sz val="9"/>
        <color rgb="FF8A6D3B"/>
        <rFont val="Noto Sans CJK SC"/>
        <family val="2"/>
      </rPr>
      <t xml:space="preserve">생존</t>
    </r>
    <r>
      <rPr>
        <sz val="9"/>
        <color rgb="FF8A6D3B"/>
        <rFont val="맑은 고딕"/>
        <family val="0"/>
        <charset val="1"/>
      </rPr>
      <t xml:space="preserve">' </t>
    </r>
    <r>
      <rPr>
        <sz val="9"/>
        <color rgb="FF8A6D3B"/>
        <rFont val="Noto Sans CJK SC"/>
        <family val="2"/>
      </rPr>
      <t xml:space="preserve">트레이드오프가 빌드 개성을 만듭니다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딜 </t>
    </r>
    <r>
      <rPr>
        <sz val="9"/>
        <color rgb="FF8A6D3B"/>
        <rFont val="맑은 고딕"/>
        <family val="0"/>
        <charset val="1"/>
      </rPr>
      <t xml:space="preserve">4</t>
    </r>
    <r>
      <rPr>
        <sz val="9"/>
        <color rgb="FF8A6D3B"/>
        <rFont val="Noto Sans CJK SC"/>
        <family val="2"/>
      </rPr>
      <t xml:space="preserve">개 </t>
    </r>
    <r>
      <rPr>
        <sz val="9"/>
        <color rgb="FF8A6D3B"/>
        <rFont val="맑은 고딕"/>
        <family val="0"/>
        <charset val="1"/>
      </rPr>
      <t xml:space="preserve">= </t>
    </r>
    <r>
      <rPr>
        <sz val="9"/>
        <color rgb="FF8A6D3B"/>
        <rFont val="Noto Sans CJK SC"/>
        <family val="2"/>
      </rPr>
      <t xml:space="preserve">글래스캐논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생존 위주 </t>
    </r>
    <r>
      <rPr>
        <sz val="9"/>
        <color rgb="FF8A6D3B"/>
        <rFont val="맑은 고딕"/>
        <family val="0"/>
        <charset val="1"/>
      </rPr>
      <t xml:space="preserve">= </t>
    </r>
    <r>
      <rPr>
        <sz val="9"/>
        <color rgb="FF8A6D3B"/>
        <rFont val="Noto Sans CJK SC"/>
        <family val="2"/>
      </rPr>
      <t xml:space="preserve">탱키 빌드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</si>
  <si>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Noto Sans CJK SC"/>
        <family val="2"/>
      </rPr>
      <t xml:space="preserve">⚠️ 사이드이펙트  중첩형 패시브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원소 노출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힘의 고리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는 상한을 명확히 두지 않으면 무한 스택 버그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밸런스 붕괴가 생깁니다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최대 중첩수와 지속시간을 반드시 정의하세요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</si>
  <si>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6"/>
        <color rgb="FFC8A24B"/>
        <rFont val="맑은 고딕"/>
        <family val="0"/>
        <charset val="1"/>
      </rPr>
      <t xml:space="preserve">17. </t>
    </r>
    <r>
      <rPr>
        <b val="true"/>
        <sz val="16"/>
        <color rgb="FFC8A24B"/>
        <rFont val="Noto Sans CJK SC"/>
        <family val="2"/>
      </rPr>
      <t xml:space="preserve">스킬트리 </t>
    </r>
    <r>
      <rPr>
        <b val="true"/>
        <sz val="16"/>
        <color rgb="FFC8A24B"/>
        <rFont val="맑은 고딕"/>
        <family val="0"/>
        <charset val="1"/>
      </rPr>
      <t xml:space="preserve">· </t>
    </r>
    <r>
      <rPr>
        <b val="true"/>
        <sz val="16"/>
        <color rgb="FFC8A24B"/>
        <rFont val="Noto Sans CJK SC"/>
        <family val="2"/>
      </rPr>
      <t xml:space="preserve">빌드</t>
    </r>
  </si>
  <si>
    <r>
      <rPr>
        <i val="true"/>
        <sz val="9"/>
        <color rgb="FF6B5A40"/>
        <rFont val="Noto Sans CJK SC"/>
        <family val="2"/>
      </rPr>
      <t xml:space="preserve">티어 해금 트리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진행 경로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추천 빌드 구성 </t>
    </r>
    <r>
      <rPr>
        <i val="true"/>
        <sz val="9"/>
        <color rgb="FF6B5A40"/>
        <rFont val="맑은 고딕"/>
        <family val="0"/>
        <charset val="1"/>
      </rPr>
      <t xml:space="preserve">(6 </t>
    </r>
    <r>
      <rPr>
        <i val="true"/>
        <sz val="9"/>
        <color rgb="FF6B5A40"/>
        <rFont val="Noto Sans CJK SC"/>
        <family val="2"/>
      </rPr>
      <t xml:space="preserve">액티브 </t>
    </r>
    <r>
      <rPr>
        <i val="true"/>
        <sz val="9"/>
        <color rgb="FF6B5A40"/>
        <rFont val="맑은 고딕"/>
        <family val="0"/>
        <charset val="1"/>
      </rPr>
      <t xml:space="preserve">+ 4 </t>
    </r>
    <r>
      <rPr>
        <i val="true"/>
        <sz val="9"/>
        <color rgb="FF6B5A40"/>
        <rFont val="Noto Sans CJK SC"/>
        <family val="2"/>
      </rPr>
      <t xml:space="preserve">패시브</t>
    </r>
    <r>
      <rPr>
        <i val="true"/>
        <sz val="9"/>
        <color rgb="FF6B5A40"/>
        <rFont val="맑은 고딕"/>
        <family val="0"/>
        <charset val="1"/>
      </rPr>
      <t xml:space="preserve">)</t>
    </r>
  </si>
  <si>
    <r>
      <rPr>
        <sz val="9"/>
        <color rgb="FF8A6D3B"/>
        <rFont val="맑은 고딕"/>
        <family val="0"/>
        <charset val="1"/>
      </rPr>
      <t xml:space="preserve">📖 D3 </t>
    </r>
    <r>
      <rPr>
        <sz val="9"/>
        <color rgb="FF8A6D3B"/>
        <rFont val="Noto Sans CJK SC"/>
        <family val="2"/>
      </rPr>
      <t xml:space="preserve">레퍼런스  디아블로</t>
    </r>
    <r>
      <rPr>
        <sz val="9"/>
        <color rgb="FF8A6D3B"/>
        <rFont val="맑은 고딕"/>
        <family val="0"/>
        <charset val="1"/>
      </rPr>
      <t xml:space="preserve">3</t>
    </r>
    <r>
      <rPr>
        <sz val="9"/>
        <color rgb="FF8A6D3B"/>
        <rFont val="Noto Sans CJK SC"/>
        <family val="2"/>
      </rPr>
      <t xml:space="preserve">는 </t>
    </r>
    <r>
      <rPr>
        <sz val="9"/>
        <color rgb="FF8A6D3B"/>
        <rFont val="맑은 고딕"/>
        <family val="0"/>
        <charset val="1"/>
      </rPr>
      <t xml:space="preserve">D2</t>
    </r>
    <r>
      <rPr>
        <sz val="9"/>
        <color rgb="FF8A6D3B"/>
        <rFont val="Noto Sans CJK SC"/>
        <family val="2"/>
      </rPr>
      <t xml:space="preserve">식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포인트 분배 트리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가 아니라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레벨 해금 </t>
    </r>
    <r>
      <rPr>
        <sz val="9"/>
        <color rgb="FF8A6D3B"/>
        <rFont val="맑은 고딕"/>
        <family val="0"/>
        <charset val="1"/>
      </rPr>
      <t xml:space="preserve">+ </t>
    </r>
    <r>
      <rPr>
        <sz val="9"/>
        <color rgb="FF8A6D3B"/>
        <rFont val="Noto Sans CJK SC"/>
        <family val="2"/>
      </rPr>
      <t xml:space="preserve">룬 </t>
    </r>
    <r>
      <rPr>
        <sz val="9"/>
        <color rgb="FF8A6D3B"/>
        <rFont val="맑은 고딕"/>
        <family val="0"/>
        <charset val="1"/>
      </rPr>
      <t xml:space="preserve">+ </t>
    </r>
    <r>
      <rPr>
        <sz val="9"/>
        <color rgb="FF8A6D3B"/>
        <rFont val="Noto Sans CJK SC"/>
        <family val="2"/>
      </rPr>
      <t xml:space="preserve">패시브 조합형입니다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아래는 그 구조를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티어 트리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로 시각화한 진행도입니다</t>
    </r>
    <r>
      <rPr>
        <sz val="9"/>
        <color rgb="FF8A6D3B"/>
        <rFont val="맑은 고딕"/>
        <family val="0"/>
        <charset val="1"/>
      </rPr>
      <t xml:space="preserve">. D2</t>
    </r>
    <r>
      <rPr>
        <sz val="9"/>
        <color rgb="FF8A6D3B"/>
        <rFont val="Noto Sans CJK SC"/>
        <family val="2"/>
      </rPr>
      <t xml:space="preserve">식 분배 트리를 원하면 </t>
    </r>
    <r>
      <rPr>
        <sz val="9"/>
        <color rgb="FF8A6D3B"/>
        <rFont val="맑은 고딕"/>
        <family val="0"/>
        <charset val="1"/>
      </rPr>
      <t xml:space="preserve">9-2 </t>
    </r>
    <r>
      <rPr>
        <sz val="9"/>
        <color rgb="FF8A6D3B"/>
        <rFont val="Noto Sans CJK SC"/>
        <family val="2"/>
      </rPr>
      <t xml:space="preserve">참고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</si>
  <si>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1"/>
        <color rgb="FFF4ECDD"/>
        <rFont val="맑은 고딕"/>
        <family val="0"/>
        <charset val="1"/>
      </rPr>
      <t xml:space="preserve">17-1. </t>
    </r>
    <r>
      <rPr>
        <b val="true"/>
        <sz val="11"/>
        <color rgb="FFF4ECDD"/>
        <rFont val="Noto Sans CJK SC"/>
        <family val="2"/>
      </rPr>
      <t xml:space="preserve">티어 해금 트리 </t>
    </r>
    <r>
      <rPr>
        <b val="true"/>
        <sz val="11"/>
        <color rgb="FFF4ECDD"/>
        <rFont val="맑은 고딕"/>
        <family val="0"/>
        <charset val="1"/>
      </rPr>
      <t xml:space="preserve">(</t>
    </r>
    <r>
      <rPr>
        <b val="true"/>
        <sz val="11"/>
        <color rgb="FFF4ECDD"/>
        <rFont val="Noto Sans CJK SC"/>
        <family val="2"/>
      </rPr>
      <t xml:space="preserve">레벨 게이트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</si>
  <si>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티어</t>
  </si>
  <si>
    <t xml:space="preserve">레벨 구간</t>
  </si>
  <si>
    <t xml:space="preserve">핵심 해금</t>
  </si>
  <si>
    <t xml:space="preserve">역할</t>
  </si>
  <si>
    <r>
      <rPr>
        <b val="true"/>
        <sz val="10"/>
        <color rgb="FFF4ECDD"/>
        <rFont val="Noto Sans CJK SC"/>
        <family val="2"/>
      </rPr>
      <t xml:space="preserve">선행</t>
    </r>
    <r>
      <rPr>
        <b val="true"/>
        <sz val="10"/>
        <color rgb="FFF4ECDD"/>
        <rFont val="맑은 고딕"/>
        <family val="0"/>
        <charset val="1"/>
      </rPr>
      <t xml:space="preserve">(</t>
    </r>
    <r>
      <rPr>
        <b val="true"/>
        <sz val="10"/>
        <color rgb="FFF4ECDD"/>
        <rFont val="Noto Sans CJK SC"/>
        <family val="2"/>
      </rPr>
      <t xml:space="preserve">권장</t>
    </r>
    <r>
      <rPr>
        <b val="true"/>
        <sz val="10"/>
        <color rgb="FFF4ECDD"/>
        <rFont val="맑은 고딕"/>
        <family val="0"/>
        <charset val="1"/>
      </rPr>
      <t xml:space="preserve">)</t>
    </r>
  </si>
  <si>
    <t xml:space="preserve">T1</t>
  </si>
  <si>
    <r>
      <rPr>
        <sz val="10"/>
        <color rgb="FF000000"/>
        <rFont val="Noto Sans CJK SC"/>
        <family val="2"/>
      </rPr>
      <t xml:space="preserve">생성기 전체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첫 방어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패시브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슬롯</t>
    </r>
  </si>
  <si>
    <t xml:space="preserve">자원 순환 기초</t>
  </si>
  <si>
    <t xml:space="preserve">T2</t>
  </si>
  <si>
    <t xml:space="preserve">11 ~ 25</t>
  </si>
  <si>
    <r>
      <rPr>
        <sz val="10"/>
        <color rgb="FF000000"/>
        <rFont val="Noto Sans CJK SC"/>
        <family val="2"/>
      </rPr>
      <t xml:space="preserve">첫 소비기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이동기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패시브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슬롯</t>
    </r>
  </si>
  <si>
    <t xml:space="preserve">주력 딜 확보</t>
  </si>
  <si>
    <r>
      <rPr>
        <sz val="10"/>
        <color rgb="FF000000"/>
        <rFont val="맑은 고딕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생성기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택</t>
    </r>
  </si>
  <si>
    <t xml:space="preserve">T3</t>
  </si>
  <si>
    <t xml:space="preserve">26 ~ 45</t>
  </si>
  <si>
    <r>
      <rPr>
        <sz val="10"/>
        <color rgb="FF000000"/>
        <rFont val="Noto Sans CJK SC"/>
        <family val="2"/>
      </rPr>
      <t xml:space="preserve">강화 소비기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역장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버프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패시브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슬롯</t>
    </r>
  </si>
  <si>
    <r>
      <rPr>
        <sz val="10"/>
        <color rgb="FF000000"/>
        <rFont val="Noto Sans CJK SC"/>
        <family val="2"/>
      </rPr>
      <t xml:space="preserve">광역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제어 추가</t>
    </r>
  </si>
  <si>
    <r>
      <rPr>
        <sz val="10"/>
        <color rgb="FF000000"/>
        <rFont val="맑은 고딕"/>
        <family val="0"/>
        <charset val="1"/>
      </rPr>
      <t xml:space="preserve">T2 </t>
    </r>
    <r>
      <rPr>
        <sz val="10"/>
        <color rgb="FF000000"/>
        <rFont val="Noto Sans CJK SC"/>
        <family val="2"/>
      </rPr>
      <t xml:space="preserve">소비기</t>
    </r>
  </si>
  <si>
    <t xml:space="preserve">T4</t>
  </si>
  <si>
    <t xml:space="preserve">46 ~ 65</t>
  </si>
  <si>
    <r>
      <rPr>
        <sz val="10"/>
        <color rgb="FF000000"/>
        <rFont val="Noto Sans CJK SC"/>
        <family val="2"/>
      </rPr>
      <t xml:space="preserve">고급 방어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중첩 패시브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룬 후반 해금</t>
    </r>
  </si>
  <si>
    <r>
      <rPr>
        <sz val="10"/>
        <color rgb="FF000000"/>
        <rFont val="Noto Sans CJK SC"/>
        <family val="2"/>
      </rPr>
      <t xml:space="preserve">생존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시너지</t>
    </r>
  </si>
  <si>
    <r>
      <rPr>
        <sz val="10"/>
        <color rgb="FF000000"/>
        <rFont val="맑은 고딕"/>
        <family val="0"/>
        <charset val="1"/>
      </rPr>
      <t xml:space="preserve">T3 </t>
    </r>
    <r>
      <rPr>
        <sz val="10"/>
        <color rgb="FF000000"/>
        <rFont val="Noto Sans CJK SC"/>
        <family val="2"/>
      </rPr>
      <t xml:space="preserve">빌드 골격</t>
    </r>
  </si>
  <si>
    <t xml:space="preserve">T5</t>
  </si>
  <si>
    <t xml:space="preserve">66 ~ 70</t>
  </si>
  <si>
    <r>
      <rPr>
        <sz val="10"/>
        <color rgb="FF000000"/>
        <rFont val="Noto Sans CJK SC"/>
        <family val="2"/>
      </rPr>
      <t xml:space="preserve">궁극기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대마법사</t>
    </r>
    <r>
      <rPr>
        <sz val="10"/>
        <color rgb="FF000000"/>
        <rFont val="맑은 고딕"/>
        <family val="0"/>
        <charset val="1"/>
      </rPr>
      <t xml:space="preserve">) + </t>
    </r>
    <r>
      <rPr>
        <sz val="10"/>
        <color rgb="FF000000"/>
        <rFont val="Noto Sans CJK SC"/>
        <family val="2"/>
      </rPr>
      <t xml:space="preserve">패시브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최종 룬</t>
    </r>
  </si>
  <si>
    <t xml:space="preserve">엔드 빌드 완성</t>
  </si>
  <si>
    <r>
      <rPr>
        <sz val="10"/>
        <color rgb="FF000000"/>
        <rFont val="맑은 고딕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전부</t>
    </r>
  </si>
  <si>
    <r>
      <rPr>
        <b val="true"/>
        <sz val="11"/>
        <color rgb="FFF4ECDD"/>
        <rFont val="맑은 고딕"/>
        <family val="0"/>
        <charset val="1"/>
      </rPr>
      <t xml:space="preserve">17-2. (</t>
    </r>
    <r>
      <rPr>
        <b val="true"/>
        <sz val="11"/>
        <color rgb="FFF4ECDD"/>
        <rFont val="Noto Sans CJK SC"/>
        <family val="2"/>
      </rPr>
      <t xml:space="preserve">선택</t>
    </r>
    <r>
      <rPr>
        <b val="true"/>
        <sz val="11"/>
        <color rgb="FFF4ECDD"/>
        <rFont val="맑은 고딕"/>
        <family val="0"/>
        <charset val="1"/>
      </rPr>
      <t xml:space="preserve">) D2</t>
    </r>
    <r>
      <rPr>
        <b val="true"/>
        <sz val="11"/>
        <color rgb="FFF4ECDD"/>
        <rFont val="Noto Sans CJK SC"/>
        <family val="2"/>
      </rPr>
      <t xml:space="preserve">식 포인트 분배 트리 구조</t>
    </r>
  </si>
  <si>
    <t xml:space="preserve">트리 갈래</t>
  </si>
  <si>
    <t xml:space="preserve">컨셉</t>
  </si>
  <si>
    <t xml:space="preserve">대표 스킬</t>
  </si>
  <si>
    <t xml:space="preserve">포인트 의존</t>
  </si>
  <si>
    <t xml:space="preserve">화염 계열</t>
  </si>
  <si>
    <r>
      <rPr>
        <sz val="10"/>
        <color rgb="FF000000"/>
        <rFont val="Noto Sans CJK SC"/>
        <family val="2"/>
      </rPr>
      <t xml:space="preserve">폭발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지속 화염</t>
    </r>
  </si>
  <si>
    <r>
      <rPr>
        <sz val="10"/>
        <color rgb="FF000000"/>
        <rFont val="Noto Sans CJK SC"/>
        <family val="2"/>
      </rPr>
      <t xml:space="preserve">운석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화염구</t>
    </r>
  </si>
  <si>
    <r>
      <rPr>
        <sz val="10"/>
        <color rgb="FF000000"/>
        <rFont val="Noto Sans CJK SC"/>
        <family val="2"/>
      </rPr>
      <t xml:space="preserve">상위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하위 </t>
    </r>
    <r>
      <rPr>
        <sz val="10"/>
        <color rgb="FF000000"/>
        <rFont val="맑은 고딕"/>
        <family val="0"/>
        <charset val="1"/>
      </rPr>
      <t xml:space="preserve">5pt </t>
    </r>
    <r>
      <rPr>
        <sz val="10"/>
        <color rgb="FF000000"/>
        <rFont val="Noto Sans CJK SC"/>
        <family val="2"/>
      </rPr>
      <t xml:space="preserve">선행</t>
    </r>
  </si>
  <si>
    <r>
      <rPr>
        <sz val="10"/>
        <color rgb="FF000000"/>
        <rFont val="Noto Sans CJK SC"/>
        <family val="2"/>
      </rPr>
      <t xml:space="preserve">고데미지 단일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광역</t>
    </r>
  </si>
  <si>
    <t xml:space="preserve">냉기 계열</t>
  </si>
  <si>
    <r>
      <rPr>
        <sz val="10"/>
        <color rgb="FF000000"/>
        <rFont val="Noto Sans CJK SC"/>
        <family val="2"/>
      </rPr>
      <t xml:space="preserve">둔화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빙결 제어</t>
    </r>
  </si>
  <si>
    <r>
      <rPr>
        <sz val="10"/>
        <color rgb="FF000000"/>
        <rFont val="Noto Sans CJK SC"/>
        <family val="2"/>
      </rPr>
      <t xml:space="preserve">눈보라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냉기구체</t>
    </r>
  </si>
  <si>
    <t xml:space="preserve">제어 특화</t>
  </si>
  <si>
    <t xml:space="preserve">전격 계열</t>
  </si>
  <si>
    <r>
      <rPr>
        <sz val="10"/>
        <color rgb="FF000000"/>
        <rFont val="Noto Sans CJK SC"/>
        <family val="2"/>
      </rPr>
      <t xml:space="preserve">연쇄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속공</t>
    </r>
  </si>
  <si>
    <r>
      <rPr>
        <sz val="10"/>
        <color rgb="FF000000"/>
        <rFont val="Noto Sans CJK SC"/>
        <family val="2"/>
      </rPr>
      <t xml:space="preserve">감전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폭풍갑옷</t>
    </r>
  </si>
  <si>
    <r>
      <rPr>
        <sz val="10"/>
        <color rgb="FF000000"/>
        <rFont val="Noto Sans CJK SC"/>
        <family val="2"/>
      </rPr>
      <t xml:space="preserve">속도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다중타격</t>
    </r>
  </si>
  <si>
    <r>
      <rPr>
        <sz val="9"/>
        <color rgb="FF8A6D3B"/>
        <rFont val="맑은 고딕"/>
        <family val="0"/>
        <charset val="1"/>
      </rPr>
      <t xml:space="preserve">💡 TIP  D2</t>
    </r>
    <r>
      <rPr>
        <sz val="9"/>
        <color rgb="FF8A6D3B"/>
        <rFont val="Noto Sans CJK SC"/>
        <family val="2"/>
      </rPr>
      <t xml:space="preserve">식 트리는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스킬 포인트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와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선행 조건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하위 스킬 </t>
    </r>
    <r>
      <rPr>
        <sz val="9"/>
        <color rgb="FF8A6D3B"/>
        <rFont val="맑은 고딕"/>
        <family val="0"/>
        <charset val="1"/>
      </rPr>
      <t xml:space="preserve">N</t>
    </r>
    <r>
      <rPr>
        <sz val="9"/>
        <color rgb="FF8A6D3B"/>
        <rFont val="Noto Sans CJK SC"/>
        <family val="2"/>
      </rPr>
      <t xml:space="preserve">포인트 투자 시 상위 해금</t>
    </r>
    <r>
      <rPr>
        <sz val="9"/>
        <color rgb="FF8A6D3B"/>
        <rFont val="맑은 고딕"/>
        <family val="0"/>
        <charset val="1"/>
      </rPr>
      <t xml:space="preserve">)'</t>
    </r>
    <r>
      <rPr>
        <sz val="9"/>
        <color rgb="FF8A6D3B"/>
        <rFont val="Noto Sans CJK SC"/>
        <family val="2"/>
      </rPr>
      <t xml:space="preserve">이 필요합니다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되돌리기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리스펙</t>
    </r>
    <r>
      <rPr>
        <sz val="9"/>
        <color rgb="FF8A6D3B"/>
        <rFont val="맑은 고딕"/>
        <family val="0"/>
        <charset val="1"/>
      </rPr>
      <t xml:space="preserve">) </t>
    </r>
    <r>
      <rPr>
        <sz val="9"/>
        <color rgb="FF8A6D3B"/>
        <rFont val="Noto Sans CJK SC"/>
        <family val="2"/>
      </rPr>
      <t xml:space="preserve">정책과 포인트 획득량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레벨당 </t>
    </r>
    <r>
      <rPr>
        <sz val="9"/>
        <color rgb="FF8A6D3B"/>
        <rFont val="맑은 고딕"/>
        <family val="0"/>
        <charset val="1"/>
      </rPr>
      <t xml:space="preserve">1~2pt) </t>
    </r>
    <r>
      <rPr>
        <sz val="9"/>
        <color rgb="FF8A6D3B"/>
        <rFont val="Noto Sans CJK SC"/>
        <family val="2"/>
      </rPr>
      <t xml:space="preserve">설계가 핵심입니다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</si>
  <si>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1"/>
        <color rgb="FFF4ECDD"/>
        <rFont val="맑은 고딕"/>
        <family val="0"/>
        <charset val="1"/>
      </rPr>
      <t xml:space="preserve">17-3. </t>
    </r>
    <r>
      <rPr>
        <b val="true"/>
        <sz val="11"/>
        <color rgb="FFF4ECDD"/>
        <rFont val="Noto Sans CJK SC"/>
        <family val="2"/>
      </rPr>
      <t xml:space="preserve">추천 빌드 예시 — </t>
    </r>
    <r>
      <rPr>
        <b val="true"/>
        <sz val="11"/>
        <color rgb="FFF4ECDD"/>
        <rFont val="맑은 고딕"/>
        <family val="0"/>
        <charset val="1"/>
      </rPr>
      <t xml:space="preserve">'</t>
    </r>
    <r>
      <rPr>
        <b val="true"/>
        <sz val="11"/>
        <color rgb="FFF4ECDD"/>
        <rFont val="Noto Sans CJK SC"/>
        <family val="2"/>
      </rPr>
      <t xml:space="preserve">비전 광역 폭격형</t>
    </r>
    <r>
      <rPr>
        <b val="true"/>
        <sz val="11"/>
        <color rgb="FFF4ECDD"/>
        <rFont val="맑은 고딕"/>
        <family val="0"/>
        <charset val="1"/>
      </rPr>
      <t xml:space="preserve">'</t>
    </r>
  </si>
  <si>
    <t xml:space="preserve">스킬</t>
  </si>
  <si>
    <r>
      <rPr>
        <b val="true"/>
        <sz val="10"/>
        <color rgb="FFF4ECDD"/>
        <rFont val="Noto Sans CJK SC"/>
        <family val="2"/>
      </rPr>
      <t xml:space="preserve">룬</t>
    </r>
    <r>
      <rPr>
        <b val="true"/>
        <sz val="10"/>
        <color rgb="FFF4ECDD"/>
        <rFont val="맑은 고딕"/>
        <family val="0"/>
        <charset val="1"/>
      </rPr>
      <t xml:space="preserve">/</t>
    </r>
    <r>
      <rPr>
        <b val="true"/>
        <sz val="10"/>
        <color rgb="FFF4ECDD"/>
        <rFont val="Noto Sans CJK SC"/>
        <family val="2"/>
      </rPr>
      <t xml:space="preserve">세부</t>
    </r>
  </si>
  <si>
    <r>
      <rPr>
        <b val="true"/>
        <sz val="10"/>
        <color rgb="FFC8A24B"/>
        <rFont val="Noto Sans CJK SC"/>
        <family val="2"/>
      </rPr>
      <t xml:space="preserve">액티브</t>
    </r>
    <r>
      <rPr>
        <b val="true"/>
        <sz val="10"/>
        <color rgb="FFC8A24B"/>
        <rFont val="맑은 고딕"/>
        <family val="0"/>
        <charset val="1"/>
      </rPr>
      <t xml:space="preserve">1</t>
    </r>
  </si>
  <si>
    <t xml:space="preserve">근접 생성</t>
  </si>
  <si>
    <t xml:space="preserve">비전력 충전</t>
  </si>
  <si>
    <r>
      <rPr>
        <b val="true"/>
        <sz val="10"/>
        <color rgb="FFC8A24B"/>
        <rFont val="Noto Sans CJK SC"/>
        <family val="2"/>
      </rPr>
      <t xml:space="preserve">액티브</t>
    </r>
    <r>
      <rPr>
        <b val="true"/>
        <sz val="10"/>
        <color rgb="FFC8A24B"/>
        <rFont val="맑은 고딕"/>
        <family val="0"/>
        <charset val="1"/>
      </rPr>
      <t xml:space="preserve">2</t>
    </r>
  </si>
  <si>
    <t xml:space="preserve">소멸 룬</t>
  </si>
  <si>
    <t xml:space="preserve">주력 딜</t>
  </si>
  <si>
    <r>
      <rPr>
        <b val="true"/>
        <sz val="10"/>
        <color rgb="FFC8A24B"/>
        <rFont val="Noto Sans CJK SC"/>
        <family val="2"/>
      </rPr>
      <t xml:space="preserve">액티브</t>
    </r>
    <r>
      <rPr>
        <b val="true"/>
        <sz val="10"/>
        <color rgb="FFC8A24B"/>
        <rFont val="맑은 고딕"/>
        <family val="0"/>
        <charset val="1"/>
      </rPr>
      <t xml:space="preserve">3</t>
    </r>
  </si>
  <si>
    <t xml:space="preserve">화염 융단</t>
  </si>
  <si>
    <t xml:space="preserve">광역 폭격</t>
  </si>
  <si>
    <r>
      <rPr>
        <b val="true"/>
        <sz val="10"/>
        <color rgb="FFC8A24B"/>
        <rFont val="Noto Sans CJK SC"/>
        <family val="2"/>
      </rPr>
      <t xml:space="preserve">액티브</t>
    </r>
    <r>
      <rPr>
        <b val="true"/>
        <sz val="10"/>
        <color rgb="FFC8A24B"/>
        <rFont val="맑은 고딕"/>
        <family val="0"/>
        <charset val="1"/>
      </rPr>
      <t xml:space="preserve">4</t>
    </r>
  </si>
  <si>
    <t xml:space="preserve">제어 룬</t>
  </si>
  <si>
    <t xml:space="preserve">적 빙결</t>
  </si>
  <si>
    <r>
      <rPr>
        <b val="true"/>
        <sz val="10"/>
        <color rgb="FFC8A24B"/>
        <rFont val="Noto Sans CJK SC"/>
        <family val="2"/>
      </rPr>
      <t xml:space="preserve">액티브</t>
    </r>
    <r>
      <rPr>
        <b val="true"/>
        <sz val="10"/>
        <color rgb="FFC8A24B"/>
        <rFont val="맑은 고딕"/>
        <family val="0"/>
        <charset val="1"/>
      </rPr>
      <t xml:space="preserve">5</t>
    </r>
  </si>
  <si>
    <r>
      <rPr>
        <sz val="10"/>
        <color rgb="FF000000"/>
        <rFont val="Noto Sans CJK SC"/>
        <family val="2"/>
      </rPr>
      <t xml:space="preserve">회피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추격</t>
    </r>
  </si>
  <si>
    <r>
      <rPr>
        <b val="true"/>
        <sz val="10"/>
        <color rgb="FFC8A24B"/>
        <rFont val="Noto Sans CJK SC"/>
        <family val="2"/>
      </rPr>
      <t xml:space="preserve">액티브</t>
    </r>
    <r>
      <rPr>
        <b val="true"/>
        <sz val="10"/>
        <color rgb="FFC8A24B"/>
        <rFont val="맑은 고딕"/>
        <family val="0"/>
        <charset val="1"/>
      </rPr>
      <t xml:space="preserve">6</t>
    </r>
  </si>
  <si>
    <t xml:space="preserve">변신</t>
  </si>
  <si>
    <t xml:space="preserve">폭딜 페이즈</t>
  </si>
  <si>
    <t xml:space="preserve">패시브</t>
  </si>
  <si>
    <r>
      <rPr>
        <sz val="10"/>
        <color rgb="FF000000"/>
        <rFont val="Noto Sans CJK SC"/>
        <family val="2"/>
      </rPr>
      <t xml:space="preserve">진화의 인도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전투 숙련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원소 노출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절정의 각성 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딜 집중형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</si>
  <si>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8A6D3B"/>
        <rFont val="Noto Sans CJK SC"/>
        <family val="2"/>
      </rPr>
      <t xml:space="preserve">🔆 중요  빌드의 핵심 시너지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냉기 회오리로 적을 묶고 → 비전 구체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소멸</t>
    </r>
    <r>
      <rPr>
        <sz val="9"/>
        <color rgb="FF8A6D3B"/>
        <rFont val="맑은 고딕"/>
        <family val="0"/>
        <charset val="1"/>
      </rPr>
      <t xml:space="preserve">)+</t>
    </r>
    <r>
      <rPr>
        <sz val="9"/>
        <color rgb="FF8A6D3B"/>
        <rFont val="Noto Sans CJK SC"/>
        <family val="2"/>
      </rPr>
      <t xml:space="preserve">운석으로 광역 폭격 → 대마법사로 보스 폭딜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생성기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비전 칼날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로 비전력을 계속 채워 순환을 유지합니다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</si>
  <si>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추천 빌드는 </t>
    </r>
    <r>
      <rPr>
        <sz val="9"/>
        <color rgb="FF8A6D3B"/>
        <rFont val="맑은 고딕"/>
        <family val="0"/>
        <charset val="1"/>
      </rPr>
      <t xml:space="preserve">14.</t>
    </r>
    <r>
      <rPr>
        <sz val="9"/>
        <color rgb="FF8A6D3B"/>
        <rFont val="Noto Sans CJK SC"/>
        <family val="2"/>
      </rPr>
      <t xml:space="preserve">스킬</t>
    </r>
    <r>
      <rPr>
        <sz val="9"/>
        <color rgb="FF8A6D3B"/>
        <rFont val="맑은 고딕"/>
        <family val="0"/>
        <charset val="1"/>
      </rPr>
      <t xml:space="preserve">_</t>
    </r>
    <r>
      <rPr>
        <sz val="9"/>
        <color rgb="FF8A6D3B"/>
        <rFont val="Noto Sans CJK SC"/>
        <family val="2"/>
      </rPr>
      <t xml:space="preserve">액티브목록 </t>
    </r>
    <r>
      <rPr>
        <sz val="9"/>
        <color rgb="FF8A6D3B"/>
        <rFont val="맑은 고딕"/>
        <family val="0"/>
        <charset val="1"/>
      </rPr>
      <t xml:space="preserve">+ 15.</t>
    </r>
    <r>
      <rPr>
        <sz val="9"/>
        <color rgb="FF8A6D3B"/>
        <rFont val="Noto Sans CJK SC"/>
        <family val="2"/>
      </rPr>
      <t xml:space="preserve">룬시스템 </t>
    </r>
    <r>
      <rPr>
        <sz val="9"/>
        <color rgb="FF8A6D3B"/>
        <rFont val="맑은 고딕"/>
        <family val="0"/>
        <charset val="1"/>
      </rPr>
      <t xml:space="preserve">+ 16.</t>
    </r>
    <r>
      <rPr>
        <sz val="9"/>
        <color rgb="FF8A6D3B"/>
        <rFont val="Noto Sans CJK SC"/>
        <family val="2"/>
      </rPr>
      <t xml:space="preserve">패시브의 데이터를 조합한 결과물입니다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스킬 계수를 </t>
    </r>
    <r>
      <rPr>
        <sz val="9"/>
        <color rgb="FF8A6D3B"/>
        <rFont val="맑은 고딕"/>
        <family val="0"/>
        <charset val="1"/>
      </rPr>
      <t xml:space="preserve">3.</t>
    </r>
    <r>
      <rPr>
        <sz val="9"/>
        <color rgb="FF8A6D3B"/>
        <rFont val="Noto Sans CJK SC"/>
        <family val="2"/>
      </rPr>
      <t xml:space="preserve">데미지</t>
    </r>
    <r>
      <rPr>
        <sz val="9"/>
        <color rgb="FF8A6D3B"/>
        <rFont val="맑은 고딕"/>
        <family val="0"/>
        <charset val="1"/>
      </rPr>
      <t xml:space="preserve">_</t>
    </r>
    <r>
      <rPr>
        <sz val="9"/>
        <color rgb="FF8A6D3B"/>
        <rFont val="Noto Sans CJK SC"/>
        <family val="2"/>
      </rPr>
      <t xml:space="preserve">파이프라인에 넣으면 빌드별 실제 </t>
    </r>
    <r>
      <rPr>
        <sz val="9"/>
        <color rgb="FF8A6D3B"/>
        <rFont val="맑은 고딕"/>
        <family val="0"/>
        <charset val="1"/>
      </rPr>
      <t xml:space="preserve">DPS</t>
    </r>
    <r>
      <rPr>
        <sz val="9"/>
        <color rgb="FF8A6D3B"/>
        <rFont val="Noto Sans CJK SC"/>
        <family val="2"/>
      </rPr>
      <t xml:space="preserve">를 비교할 수 있습니다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</si>
  <si>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Noto Sans CJK SC"/>
        <family val="2"/>
      </rPr>
      <t xml:space="preserve">⚠️ 사이드이펙트  빌드 한 개가 압도적으로 강하면 다양성이 죽습니다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광역형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단일형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제어형 빌드가 각자 다른 콘텐츠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잡몹 사냥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보스전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고난도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에서 우위를 갖도록 분산 설계하세요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</si>
  <si>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6"/>
        <color rgb="FFC8A24B"/>
        <rFont val="맑은 고딕"/>
        <family val="0"/>
        <charset val="1"/>
      </rPr>
      <t xml:space="preserve">18. </t>
    </r>
    <r>
      <rPr>
        <b val="true"/>
        <sz val="16"/>
        <color rgb="FFC8A24B"/>
        <rFont val="Noto Sans CJK SC"/>
        <family val="2"/>
      </rPr>
      <t xml:space="preserve">직업 </t>
    </r>
    <r>
      <rPr>
        <b val="true"/>
        <sz val="16"/>
        <color rgb="FFC8A24B"/>
        <rFont val="맑은 고딕"/>
        <family val="0"/>
        <charset val="1"/>
      </rPr>
      <t xml:space="preserve">· </t>
    </r>
    <r>
      <rPr>
        <b val="true"/>
        <sz val="16"/>
        <color rgb="FFC8A24B"/>
        <rFont val="Noto Sans CJK SC"/>
        <family val="2"/>
      </rPr>
      <t xml:space="preserve">세부직업 밸런스 개요</t>
    </r>
  </si>
  <si>
    <r>
      <rPr>
        <i val="true"/>
        <sz val="9"/>
        <color rgb="FF6B5A40"/>
        <rFont val="맑은 고딕"/>
        <family val="0"/>
        <charset val="1"/>
      </rPr>
      <t xml:space="preserve">3</t>
    </r>
    <r>
      <rPr>
        <i val="true"/>
        <sz val="9"/>
        <color rgb="FF6B5A40"/>
        <rFont val="Noto Sans CJK SC"/>
        <family val="2"/>
      </rPr>
      <t xml:space="preserve">직업 </t>
    </r>
    <r>
      <rPr>
        <i val="true"/>
        <sz val="9"/>
        <color rgb="FF6B5A40"/>
        <rFont val="맑은 고딕"/>
        <family val="0"/>
        <charset val="1"/>
      </rPr>
      <t xml:space="preserve">18</t>
    </r>
    <r>
      <rPr>
        <i val="true"/>
        <sz val="9"/>
        <color rgb="FF6B5A40"/>
        <rFont val="Noto Sans CJK SC"/>
        <family val="2"/>
      </rPr>
      <t xml:space="preserve">세부직업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역할</t>
    </r>
    <r>
      <rPr>
        <i val="true"/>
        <sz val="9"/>
        <color rgb="FF6B5A40"/>
        <rFont val="맑은 고딕"/>
        <family val="0"/>
        <charset val="1"/>
      </rPr>
      <t xml:space="preserve">/</t>
    </r>
    <r>
      <rPr>
        <i val="true"/>
        <sz val="9"/>
        <color rgb="FF6B5A40"/>
        <rFont val="Noto Sans CJK SC"/>
        <family val="2"/>
      </rPr>
      <t xml:space="preserve">장단점 </t>
    </r>
    <r>
      <rPr>
        <i val="true"/>
        <sz val="9"/>
        <color rgb="FF6B5A40"/>
        <rFont val="맑은 고딕"/>
        <family val="0"/>
        <charset val="1"/>
      </rPr>
      <t xml:space="preserve">· 6</t>
    </r>
    <r>
      <rPr>
        <i val="true"/>
        <sz val="9"/>
        <color rgb="FF6B5A40"/>
        <rFont val="Noto Sans CJK SC"/>
        <family val="2"/>
      </rPr>
      <t xml:space="preserve">축 파워예산 매트릭스 </t>
    </r>
    <r>
      <rPr>
        <i val="true"/>
        <sz val="9"/>
        <color rgb="FF6B5A40"/>
        <rFont val="맑은 고딕"/>
        <family val="0"/>
        <charset val="1"/>
      </rPr>
      <t xml:space="preserve">(Diablo·Lineage·WoW </t>
    </r>
    <r>
      <rPr>
        <i val="true"/>
        <sz val="9"/>
        <color rgb="FF6B5A40"/>
        <rFont val="Noto Sans CJK SC"/>
        <family val="2"/>
      </rPr>
      <t xml:space="preserve">참고</t>
    </r>
    <r>
      <rPr>
        <i val="true"/>
        <sz val="9"/>
        <color rgb="FF6B5A40"/>
        <rFont val="맑은 고딕"/>
        <family val="0"/>
        <charset val="1"/>
      </rPr>
      <t xml:space="preserve">)</t>
    </r>
  </si>
  <si>
    <r>
      <rPr>
        <sz val="9"/>
        <color rgb="FF8A6D3B"/>
        <rFont val="Noto Sans CJK SC"/>
        <family val="2"/>
      </rPr>
      <t xml:space="preserve">🔆 중요  밸런스 설계 원칙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각 세부직업의 </t>
    </r>
    <r>
      <rPr>
        <sz val="9"/>
        <color rgb="FF8A6D3B"/>
        <rFont val="맑은 고딕"/>
        <family val="0"/>
        <charset val="1"/>
      </rPr>
      <t xml:space="preserve">6</t>
    </r>
    <r>
      <rPr>
        <sz val="9"/>
        <color rgb="FF8A6D3B"/>
        <rFont val="Noto Sans CJK SC"/>
        <family val="2"/>
      </rPr>
      <t xml:space="preserve">축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단일딜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광역딜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생존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기동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유틸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제어</t>
    </r>
    <r>
      <rPr>
        <sz val="9"/>
        <color rgb="FF8A6D3B"/>
        <rFont val="맑은 고딕"/>
        <family val="0"/>
        <charset val="1"/>
      </rPr>
      <t xml:space="preserve">) </t>
    </r>
    <r>
      <rPr>
        <sz val="9"/>
        <color rgb="FF8A6D3B"/>
        <rFont val="Noto Sans CJK SC"/>
        <family val="2"/>
      </rPr>
      <t xml:space="preserve">점수 합계를 </t>
    </r>
    <r>
      <rPr>
        <sz val="9"/>
        <color rgb="FF8A6D3B"/>
        <rFont val="맑은 고딕"/>
        <family val="0"/>
        <charset val="1"/>
      </rPr>
      <t xml:space="preserve">18±1</t>
    </r>
    <r>
      <rPr>
        <sz val="9"/>
        <color rgb="FF8A6D3B"/>
        <rFont val="Noto Sans CJK SC"/>
        <family val="2"/>
      </rPr>
      <t xml:space="preserve">로 맞춰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총 파워 예산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을 동등하게 유지하되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분배를 다르게 해 개성을 만듭니다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합계가 같으면 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강함의 방향</t>
    </r>
    <r>
      <rPr>
        <sz val="9"/>
        <color rgb="FF8A6D3B"/>
        <rFont val="맑은 고딕"/>
        <family val="0"/>
        <charset val="1"/>
      </rPr>
      <t xml:space="preserve">'</t>
    </r>
    <r>
      <rPr>
        <sz val="9"/>
        <color rgb="FF8A6D3B"/>
        <rFont val="Noto Sans CJK SC"/>
        <family val="2"/>
      </rPr>
      <t xml:space="preserve">만 다를 뿐 우열은 없습니다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</si>
  <si>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1"/>
        <color rgb="FFF4ECDD"/>
        <rFont val="맑은 고딕"/>
        <family val="0"/>
        <charset val="1"/>
      </rPr>
      <t xml:space="preserve">18-1. </t>
    </r>
    <r>
      <rPr>
        <b val="true"/>
        <sz val="11"/>
        <color rgb="FFF4ECDD"/>
        <rFont val="Noto Sans CJK SC"/>
        <family val="2"/>
      </rPr>
      <t xml:space="preserve">파워 예산 매트릭스 </t>
    </r>
    <r>
      <rPr>
        <b val="true"/>
        <sz val="11"/>
        <color rgb="FFF4ECDD"/>
        <rFont val="맑은 고딕"/>
        <family val="0"/>
        <charset val="1"/>
      </rPr>
      <t xml:space="preserve">(1~5</t>
    </r>
    <r>
      <rPr>
        <b val="true"/>
        <sz val="11"/>
        <color rgb="FFF4ECDD"/>
        <rFont val="Noto Sans CJK SC"/>
        <family val="2"/>
      </rPr>
      <t xml:space="preserve">점</t>
    </r>
    <r>
      <rPr>
        <b val="true"/>
        <sz val="11"/>
        <color rgb="FFF4ECDD"/>
        <rFont val="맑은 고딕"/>
        <family val="0"/>
        <charset val="1"/>
      </rPr>
      <t xml:space="preserve">, </t>
    </r>
    <r>
      <rPr>
        <b val="true"/>
        <sz val="11"/>
        <color rgb="FFF4ECDD"/>
        <rFont val="Noto Sans CJK SC"/>
        <family val="2"/>
      </rPr>
      <t xml:space="preserve">합계 균형</t>
    </r>
    <r>
      <rPr>
        <b val="true"/>
        <sz val="11"/>
        <color rgb="FFF4ECDD"/>
        <rFont val="맑은 고딕"/>
        <family val="0"/>
        <charset val="1"/>
      </rPr>
      <t xml:space="preserve">)</t>
    </r>
  </si>
  <si>
    <t xml:space="preserve">세부직업</t>
  </si>
  <si>
    <t xml:space="preserve">단일딜</t>
  </si>
  <si>
    <t xml:space="preserve">광역딜</t>
  </si>
  <si>
    <t xml:space="preserve">기동</t>
  </si>
  <si>
    <t xml:space="preserve">유틸</t>
  </si>
  <si>
    <t xml:space="preserve">제어</t>
  </si>
  <si>
    <t xml:space="preserve">합계</t>
  </si>
  <si>
    <t xml:space="preserve">전사</t>
  </si>
  <si>
    <t xml:space="preserve">검과 방패</t>
  </si>
  <si>
    <r>
      <rPr>
        <sz val="9"/>
        <color rgb="FF000000"/>
        <rFont val="Noto Sans CJK SC"/>
        <family val="2"/>
      </rPr>
      <t xml:space="preserve">탱커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수호</t>
    </r>
  </si>
  <si>
    <t xml:space="preserve">양손검</t>
  </si>
  <si>
    <t xml:space="preserve">광역 근접딜러</t>
  </si>
  <si>
    <t xml:space="preserve">도끼</t>
  </si>
  <si>
    <r>
      <rPr>
        <sz val="9"/>
        <color rgb="FF000000"/>
        <rFont val="Noto Sans CJK SC"/>
        <family val="2"/>
      </rPr>
      <t xml:space="preserve">버서커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폭딜</t>
    </r>
  </si>
  <si>
    <t xml:space="preserve">단도</t>
  </si>
  <si>
    <r>
      <rPr>
        <sz val="9"/>
        <color rgb="FF000000"/>
        <rFont val="Noto Sans CJK SC"/>
        <family val="2"/>
      </rPr>
      <t xml:space="preserve">듀얼리스트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치명타</t>
    </r>
  </si>
  <si>
    <r>
      <rPr>
        <b val="true"/>
        <sz val="10"/>
        <color rgb="FFC8A24B"/>
        <rFont val="Noto Sans CJK SC"/>
        <family val="2"/>
      </rPr>
      <t xml:space="preserve">창</t>
    </r>
    <r>
      <rPr>
        <b val="true"/>
        <sz val="10"/>
        <color rgb="FFC8A24B"/>
        <rFont val="맑은 고딕"/>
        <family val="0"/>
        <charset val="1"/>
      </rPr>
      <t xml:space="preserve">(</t>
    </r>
    <r>
      <rPr>
        <b val="true"/>
        <sz val="10"/>
        <color rgb="FFC8A24B"/>
        <rFont val="Noto Sans CJK SC"/>
        <family val="2"/>
      </rPr>
      <t xml:space="preserve">폴암</t>
    </r>
    <r>
      <rPr>
        <b val="true"/>
        <sz val="10"/>
        <color rgb="FFC8A24B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</si>
  <si>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리치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견제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제어</t>
    </r>
  </si>
  <si>
    <t xml:space="preserve">궁수</t>
  </si>
  <si>
    <r>
      <rPr>
        <b val="true"/>
        <sz val="10"/>
        <color rgb="FFC8A24B"/>
        <rFont val="Noto Sans CJK SC"/>
        <family val="2"/>
      </rPr>
      <t xml:space="preserve">활</t>
    </r>
    <r>
      <rPr>
        <b val="true"/>
        <sz val="10"/>
        <color rgb="FFC8A24B"/>
        <rFont val="맑은 고딕"/>
        <family val="0"/>
        <charset val="1"/>
      </rPr>
      <t xml:space="preserve">(</t>
    </r>
    <r>
      <rPr>
        <b val="true"/>
        <sz val="10"/>
        <color rgb="FFC8A24B"/>
        <rFont val="Noto Sans CJK SC"/>
        <family val="2"/>
      </rPr>
      <t xml:space="preserve">장궁</t>
    </r>
    <r>
      <rPr>
        <b val="true"/>
        <sz val="10"/>
        <color rgb="FFC8A24B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</si>
  <si>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저격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단일고뎀</t>
    </r>
  </si>
  <si>
    <t xml:space="preserve">쇠뇌</t>
  </si>
  <si>
    <r>
      <rPr>
        <sz val="9"/>
        <color rgb="FF000000"/>
        <rFont val="Noto Sans CJK SC"/>
        <family val="2"/>
      </rPr>
      <t xml:space="preserve">관통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연사</t>
    </r>
  </si>
  <si>
    <t xml:space="preserve">마법궁수</t>
  </si>
  <si>
    <r>
      <rPr>
        <sz val="9"/>
        <color rgb="FF000000"/>
        <rFont val="Noto Sans CJK SC"/>
        <family val="2"/>
      </rPr>
      <t xml:space="preserve">원소화살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부가효과</t>
    </r>
  </si>
  <si>
    <r>
      <rPr>
        <b val="true"/>
        <sz val="10"/>
        <color rgb="FFC8A24B"/>
        <rFont val="Noto Sans CJK SC"/>
        <family val="2"/>
      </rPr>
      <t xml:space="preserve">속사궁</t>
    </r>
    <r>
      <rPr>
        <b val="true"/>
        <sz val="10"/>
        <color rgb="FFC8A24B"/>
        <rFont val="맑은 고딕"/>
        <family val="0"/>
        <charset val="1"/>
      </rPr>
      <t xml:space="preserve">(</t>
    </r>
    <r>
      <rPr>
        <b val="true"/>
        <sz val="10"/>
        <color rgb="FFC8A24B"/>
        <rFont val="Noto Sans CJK SC"/>
        <family val="2"/>
      </rPr>
      <t xml:space="preserve">단궁</t>
    </r>
    <r>
      <rPr>
        <b val="true"/>
        <sz val="10"/>
        <color rgb="FFC8A24B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</si>
  <si>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초고속연사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기동</t>
    </r>
  </si>
  <si>
    <r>
      <rPr>
        <b val="true"/>
        <sz val="10"/>
        <color rgb="FFC8A24B"/>
        <rFont val="Noto Sans CJK SC"/>
        <family val="2"/>
      </rPr>
      <t xml:space="preserve">함정</t>
    </r>
    <r>
      <rPr>
        <b val="true"/>
        <sz val="10"/>
        <color rgb="FFC8A24B"/>
        <rFont val="맑은 고딕"/>
        <family val="0"/>
        <charset val="1"/>
      </rPr>
      <t xml:space="preserve">/</t>
    </r>
    <r>
      <rPr>
        <b val="true"/>
        <sz val="10"/>
        <color rgb="FFC8A24B"/>
        <rFont val="Noto Sans CJK SC"/>
        <family val="2"/>
      </rPr>
      <t xml:space="preserve">조련</t>
    </r>
  </si>
  <si>
    <r>
      <rPr>
        <sz val="9"/>
        <color rgb="FF000000"/>
        <rFont val="Noto Sans CJK SC"/>
        <family val="2"/>
      </rPr>
      <t xml:space="preserve">설치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소환</t>
    </r>
  </si>
  <si>
    <t xml:space="preserve">불</t>
  </si>
  <si>
    <r>
      <rPr>
        <sz val="9"/>
        <color rgb="FF000000"/>
        <rFont val="Noto Sans CJK SC"/>
        <family val="2"/>
      </rPr>
      <t xml:space="preserve">고뎀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스플래시</t>
    </r>
  </si>
  <si>
    <t xml:space="preserve">얼음</t>
  </si>
  <si>
    <r>
      <rPr>
        <sz val="9"/>
        <color rgb="FF000000"/>
        <rFont val="Noto Sans CJK SC"/>
        <family val="2"/>
      </rPr>
      <t xml:space="preserve">이동제한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제어</t>
    </r>
  </si>
  <si>
    <t xml:space="preserve">번개</t>
  </si>
  <si>
    <r>
      <rPr>
        <sz val="9"/>
        <color rgb="FF000000"/>
        <rFont val="Noto Sans CJK SC"/>
        <family val="2"/>
      </rPr>
      <t xml:space="preserve">연쇄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즉발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속공</t>
    </r>
  </si>
  <si>
    <t xml:space="preserve">물</t>
  </si>
  <si>
    <r>
      <rPr>
        <sz val="9"/>
        <color rgb="FF000000"/>
        <rFont val="Noto Sans CJK SC"/>
        <family val="2"/>
      </rPr>
      <t xml:space="preserve">지속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관통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회복보조</t>
    </r>
  </si>
  <si>
    <t xml:space="preserve">바람</t>
  </si>
  <si>
    <r>
      <rPr>
        <sz val="9"/>
        <color rgb="FF000000"/>
        <rFont val="Noto Sans CJK SC"/>
        <family val="2"/>
      </rPr>
      <t xml:space="preserve">기동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넉백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견제</t>
    </r>
  </si>
  <si>
    <t xml:space="preserve">땅</t>
  </si>
  <si>
    <r>
      <rPr>
        <sz val="9"/>
        <color rgb="FF000000"/>
        <rFont val="Noto Sans CJK SC"/>
        <family val="2"/>
      </rPr>
      <t xml:space="preserve">방어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기절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강력단일</t>
    </r>
  </si>
  <si>
    <r>
      <rPr>
        <b val="true"/>
        <sz val="10"/>
        <color rgb="FFC8A24B"/>
        <rFont val="Noto Sans CJK SC"/>
        <family val="2"/>
      </rPr>
      <t xml:space="preserve">버프</t>
    </r>
    <r>
      <rPr>
        <b val="true"/>
        <sz val="10"/>
        <color rgb="FFC8A24B"/>
        <rFont val="맑은 고딕"/>
        <family val="0"/>
        <charset val="1"/>
      </rPr>
      <t xml:space="preserve">(</t>
    </r>
    <r>
      <rPr>
        <b val="true"/>
        <sz val="10"/>
        <color rgb="FFC8A24B"/>
        <rFont val="Noto Sans CJK SC"/>
        <family val="2"/>
      </rPr>
      <t xml:space="preserve">인챈트</t>
    </r>
    <r>
      <rPr>
        <b val="true"/>
        <sz val="10"/>
        <color rgb="FFC8A24B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</si>
  <si>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아군강화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보호막</t>
    </r>
  </si>
  <si>
    <r>
      <rPr>
        <b val="true"/>
        <sz val="10"/>
        <color rgb="FFC8A24B"/>
        <rFont val="Noto Sans CJK SC"/>
        <family val="2"/>
      </rPr>
      <t xml:space="preserve">디버프</t>
    </r>
    <r>
      <rPr>
        <b val="true"/>
        <sz val="10"/>
        <color rgb="FFC8A24B"/>
        <rFont val="맑은 고딕"/>
        <family val="0"/>
        <charset val="1"/>
      </rPr>
      <t xml:space="preserve">(</t>
    </r>
    <r>
      <rPr>
        <b val="true"/>
        <sz val="10"/>
        <color rgb="FFC8A24B"/>
        <rFont val="Noto Sans CJK SC"/>
        <family val="2"/>
      </rPr>
      <t xml:space="preserve">저주</t>
    </r>
    <r>
      <rPr>
        <b val="true"/>
        <sz val="10"/>
        <color rgb="FFC8A24B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</si>
  <si>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적약화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저주</t>
    </r>
    <r>
      <rPr>
        <sz val="9"/>
        <color rgb="FF000000"/>
        <rFont val="맑은 고딕"/>
        <family val="0"/>
        <charset val="1"/>
      </rPr>
      <t xml:space="preserve">/DoT</t>
    </r>
  </si>
  <si>
    <t xml:space="preserve">평균</t>
  </si>
  <si>
    <t xml:space="preserve">전 세부직업 평균</t>
  </si>
  <si>
    <r>
      <rPr>
        <sz val="9"/>
        <color rgb="FF8A6D3B"/>
        <rFont val="Noto Sans CJK SC"/>
        <family val="2"/>
      </rPr>
      <t xml:space="preserve">✅ 검토  합계 열</t>
    </r>
    <r>
      <rPr>
        <sz val="9"/>
        <color rgb="FF8A6D3B"/>
        <rFont val="맑은 고딕"/>
        <family val="0"/>
        <charset val="1"/>
      </rPr>
      <t xml:space="preserve">(K)</t>
    </r>
    <r>
      <rPr>
        <sz val="9"/>
        <color rgb="FF8A6D3B"/>
        <rFont val="Noto Sans CJK SC"/>
        <family val="2"/>
      </rPr>
      <t xml:space="preserve">이 모두 </t>
    </r>
    <r>
      <rPr>
        <sz val="9"/>
        <color rgb="FF8A6D3B"/>
        <rFont val="맑은 고딕"/>
        <family val="0"/>
        <charset val="1"/>
      </rPr>
      <t xml:space="preserve">18 </t>
    </r>
    <r>
      <rPr>
        <sz val="9"/>
        <color rgb="FF8A6D3B"/>
        <rFont val="Noto Sans CJK SC"/>
        <family val="2"/>
      </rPr>
      <t xml:space="preserve">근처면 균형이 맞는 것입니다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특정 직업만 합계가 크면 </t>
    </r>
    <r>
      <rPr>
        <sz val="9"/>
        <color rgb="FF8A6D3B"/>
        <rFont val="맑은 고딕"/>
        <family val="0"/>
        <charset val="1"/>
      </rPr>
      <t xml:space="preserve">OP, </t>
    </r>
    <r>
      <rPr>
        <sz val="9"/>
        <color rgb="FF8A6D3B"/>
        <rFont val="Noto Sans CJK SC"/>
        <family val="2"/>
      </rPr>
      <t xml:space="preserve">작으면 약캐입니다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점수는 입력값이니 플레이테스트 후 조정하세요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</si>
  <si>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Noto Sans CJK SC"/>
        <family val="2"/>
      </rPr>
      <t xml:space="preserve">📖 레퍼런스  레퍼런스 차용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전사 검방</t>
    </r>
    <r>
      <rPr>
        <sz val="9"/>
        <color rgb="FF8A6D3B"/>
        <rFont val="맑은 고딕"/>
        <family val="0"/>
        <charset val="1"/>
      </rPr>
      <t xml:space="preserve">=WoW </t>
    </r>
    <r>
      <rPr>
        <sz val="9"/>
        <color rgb="FF8A6D3B"/>
        <rFont val="Noto Sans CJK SC"/>
        <family val="2"/>
      </rPr>
      <t xml:space="preserve">방어전사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디아</t>
    </r>
    <r>
      <rPr>
        <sz val="9"/>
        <color rgb="FF8A6D3B"/>
        <rFont val="맑은 고딕"/>
        <family val="0"/>
        <charset val="1"/>
      </rPr>
      <t xml:space="preserve">3 </t>
    </r>
    <r>
      <rPr>
        <sz val="9"/>
        <color rgb="FF8A6D3B"/>
        <rFont val="Noto Sans CJK SC"/>
        <family val="2"/>
      </rPr>
      <t xml:space="preserve">성전사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도끼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디아</t>
    </r>
    <r>
      <rPr>
        <sz val="9"/>
        <color rgb="FF8A6D3B"/>
        <rFont val="맑은 고딕"/>
        <family val="0"/>
        <charset val="1"/>
      </rPr>
      <t xml:space="preserve">2 </t>
    </r>
    <r>
      <rPr>
        <sz val="9"/>
        <color rgb="FF8A6D3B"/>
        <rFont val="Noto Sans CJK SC"/>
        <family val="2"/>
      </rPr>
      <t xml:space="preserve">바바리안 광폭화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궁수 함정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디아</t>
    </r>
    <r>
      <rPr>
        <sz val="9"/>
        <color rgb="FF8A6D3B"/>
        <rFont val="맑은 고딕"/>
        <family val="0"/>
        <charset val="1"/>
      </rPr>
      <t xml:space="preserve">2 </t>
    </r>
    <r>
      <rPr>
        <sz val="9"/>
        <color rgb="FF8A6D3B"/>
        <rFont val="Noto Sans CJK SC"/>
        <family val="2"/>
      </rPr>
      <t xml:space="preserve">트랩어쌔신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마법사 원소 분화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리니지</t>
    </r>
    <r>
      <rPr>
        <sz val="9"/>
        <color rgb="FF8A6D3B"/>
        <rFont val="맑은 고딕"/>
        <family val="0"/>
        <charset val="1"/>
      </rPr>
      <t xml:space="preserve">·WoW </t>
    </r>
    <r>
      <rPr>
        <sz val="9"/>
        <color rgb="FF8A6D3B"/>
        <rFont val="Noto Sans CJK SC"/>
        <family val="2"/>
      </rPr>
      <t xml:space="preserve">흑마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원소술사 컨셉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</si>
  <si>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1"/>
        <color rgb="FFF4ECDD"/>
        <rFont val="맑은 고딕"/>
        <family val="0"/>
        <charset val="1"/>
      </rPr>
      <t xml:space="preserve">18-2. </t>
    </r>
    <r>
      <rPr>
        <b val="true"/>
        <sz val="11"/>
        <color rgb="FFF4ECDD"/>
        <rFont val="Noto Sans CJK SC"/>
        <family val="2"/>
      </rPr>
      <t xml:space="preserve">직업별 공통 설계 규칙</t>
    </r>
  </si>
  <si>
    <r>
      <rPr>
        <b val="true"/>
        <sz val="10"/>
        <color rgb="FFF4ECDD"/>
        <rFont val="맑은 고딕"/>
        <family val="0"/>
        <charset val="1"/>
      </rPr>
      <t xml:space="preserve">30~40Lv </t>
    </r>
    <r>
      <rPr>
        <b val="true"/>
        <sz val="10"/>
        <color rgb="FFF4ECDD"/>
        <rFont val="Noto Sans CJK SC"/>
        <family val="2"/>
      </rPr>
      <t xml:space="preserve">특색 진입</t>
    </r>
  </si>
  <si>
    <r>
      <rPr>
        <b val="true"/>
        <sz val="10"/>
        <color rgb="FFF4ECDD"/>
        <rFont val="Noto Sans CJK SC"/>
        <family val="2"/>
      </rPr>
      <t xml:space="preserve">원거리</t>
    </r>
    <r>
      <rPr>
        <b val="true"/>
        <sz val="10"/>
        <color rgb="FFF4ECDD"/>
        <rFont val="맑은 고딕"/>
        <family val="0"/>
        <charset val="1"/>
      </rPr>
      <t xml:space="preserve">/</t>
    </r>
    <r>
      <rPr>
        <b val="true"/>
        <sz val="10"/>
        <color rgb="FFF4ECDD"/>
        <rFont val="Noto Sans CJK SC"/>
        <family val="2"/>
      </rPr>
      <t xml:space="preserve">확장 방식</t>
    </r>
  </si>
  <si>
    <t xml:space="preserve">핵심 정체성</t>
  </si>
  <si>
    <t xml:space="preserve">근접→원거리 투사 스킬 해금</t>
  </si>
  <si>
    <r>
      <rPr>
        <sz val="9"/>
        <color rgb="FF000000"/>
        <rFont val="Noto Sans CJK SC"/>
        <family val="2"/>
      </rPr>
      <t xml:space="preserve">방패투척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검기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투부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비수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투창</t>
    </r>
  </si>
  <si>
    <r>
      <rPr>
        <sz val="9"/>
        <color rgb="FF000000"/>
        <rFont val="Noto Sans CJK SC"/>
        <family val="2"/>
      </rPr>
      <t xml:space="preserve">분노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공격 시 생성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</si>
  <si>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무기별 </t>
    </r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분화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근접 베이스</t>
    </r>
  </si>
  <si>
    <r>
      <rPr>
        <sz val="9"/>
        <color rgb="FF000000"/>
        <rFont val="Noto Sans CJK SC"/>
        <family val="2"/>
      </rPr>
      <t xml:space="preserve">공속 버프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원소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불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화살 추가</t>
    </r>
  </si>
  <si>
    <r>
      <rPr>
        <sz val="9"/>
        <color rgb="FF000000"/>
        <rFont val="Noto Sans CJK SC"/>
        <family val="2"/>
      </rPr>
      <t xml:space="preserve">원소 부가효과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연사 확장</t>
    </r>
  </si>
  <si>
    <r>
      <rPr>
        <sz val="9"/>
        <color rgb="FF000000"/>
        <rFont val="Noto Sans CJK SC"/>
        <family val="2"/>
      </rPr>
      <t xml:space="preserve">집중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시간 재생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</si>
  <si>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원거리 베이스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부가효과 분화</t>
    </r>
  </si>
  <si>
    <r>
      <rPr>
        <sz val="9"/>
        <color rgb="FF000000"/>
        <rFont val="Noto Sans CJK SC"/>
        <family val="2"/>
      </rPr>
      <t xml:space="preserve">특색 스킬의 광역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범위 확장</t>
    </r>
  </si>
  <si>
    <r>
      <rPr>
        <sz val="9"/>
        <color rgb="FF000000"/>
        <rFont val="Noto Sans CJK SC"/>
        <family val="2"/>
      </rPr>
      <t xml:space="preserve">범위↑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지속↑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연쇄↑</t>
    </r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</si>
  <si>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자동 재생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</si>
  <si>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원소 분화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원소별 메커니즘</t>
    </r>
  </si>
  <si>
    <r>
      <rPr>
        <sz val="9"/>
        <color rgb="FF8A6D3B"/>
        <rFont val="맑은 고딕"/>
        <family val="0"/>
        <charset val="1"/>
      </rPr>
      <t xml:space="preserve">💡 TIP  </t>
    </r>
    <r>
      <rPr>
        <sz val="9"/>
        <color rgb="FF8A6D3B"/>
        <rFont val="Noto Sans CJK SC"/>
        <family val="2"/>
      </rPr>
      <t xml:space="preserve">각 세부직업 스킬트리는 별도 시트</t>
    </r>
    <r>
      <rPr>
        <sz val="9"/>
        <color rgb="FF8A6D3B"/>
        <rFont val="맑은 고딕"/>
        <family val="0"/>
        <charset val="1"/>
      </rPr>
      <t xml:space="preserve">(19.</t>
    </r>
    <r>
      <rPr>
        <sz val="9"/>
        <color rgb="FF8A6D3B"/>
        <rFont val="Noto Sans CJK SC"/>
        <family val="2"/>
      </rPr>
      <t xml:space="preserve">전사 </t>
    </r>
    <r>
      <rPr>
        <sz val="9"/>
        <color rgb="FF8A6D3B"/>
        <rFont val="맑은 고딕"/>
        <family val="0"/>
        <charset val="1"/>
      </rPr>
      <t xml:space="preserve">/ 20.</t>
    </r>
    <r>
      <rPr>
        <sz val="9"/>
        <color rgb="FF8A6D3B"/>
        <rFont val="Noto Sans CJK SC"/>
        <family val="2"/>
      </rPr>
      <t xml:space="preserve">궁수 </t>
    </r>
    <r>
      <rPr>
        <sz val="9"/>
        <color rgb="FF8A6D3B"/>
        <rFont val="맑은 고딕"/>
        <family val="0"/>
        <charset val="1"/>
      </rPr>
      <t xml:space="preserve">/ 21.</t>
    </r>
    <r>
      <rPr>
        <sz val="9"/>
        <color rgb="FF8A6D3B"/>
        <rFont val="Noto Sans CJK SC"/>
        <family val="2"/>
      </rPr>
      <t xml:space="preserve">마법사</t>
    </r>
    <r>
      <rPr>
        <sz val="9"/>
        <color rgb="FF8A6D3B"/>
        <rFont val="맑은 고딕"/>
        <family val="0"/>
        <charset val="1"/>
      </rPr>
      <t xml:space="preserve">)</t>
    </r>
    <r>
      <rPr>
        <sz val="9"/>
        <color rgb="FF8A6D3B"/>
        <rFont val="Noto Sans CJK SC"/>
        <family val="2"/>
      </rPr>
      <t xml:space="preserve">에 </t>
    </r>
    <r>
      <rPr>
        <sz val="9"/>
        <color rgb="FF8A6D3B"/>
        <rFont val="맑은 고딕"/>
        <family val="0"/>
        <charset val="1"/>
      </rPr>
      <t xml:space="preserve">Lv1~100</t>
    </r>
    <r>
      <rPr>
        <sz val="9"/>
        <color rgb="FF8A6D3B"/>
        <rFont val="Noto Sans CJK SC"/>
        <family val="2"/>
      </rPr>
      <t xml:space="preserve">으로 정리했습니다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빨간색 레벨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스킬명은 </t>
    </r>
    <r>
      <rPr>
        <sz val="9"/>
        <color rgb="FF8A6D3B"/>
        <rFont val="맑은 고딕"/>
        <family val="0"/>
        <charset val="1"/>
      </rPr>
      <t xml:space="preserve">30~40Lv </t>
    </r>
    <r>
      <rPr>
        <sz val="9"/>
        <color rgb="FF8A6D3B"/>
        <rFont val="Noto Sans CJK SC"/>
        <family val="2"/>
      </rPr>
      <t xml:space="preserve">특색 진입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원거리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원소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범위확장</t>
    </r>
    <r>
      <rPr>
        <sz val="9"/>
        <color rgb="FF8A6D3B"/>
        <rFont val="맑은 고딕"/>
        <family val="0"/>
        <charset val="1"/>
      </rPr>
      <t xml:space="preserve">) </t>
    </r>
    <r>
      <rPr>
        <sz val="9"/>
        <color rgb="FF8A6D3B"/>
        <rFont val="Noto Sans CJK SC"/>
        <family val="2"/>
      </rPr>
      <t xml:space="preserve">마일스톤입니다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</si>
  <si>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b val="true"/>
        <sz val="16"/>
        <color rgb="FFC8A24B"/>
        <rFont val="맑은 고딕"/>
        <family val="0"/>
        <charset val="1"/>
      </rPr>
      <t xml:space="preserve">19. </t>
    </r>
    <r>
      <rPr>
        <b val="true"/>
        <sz val="16"/>
        <color rgb="FFC8A24B"/>
        <rFont val="Noto Sans CJK SC"/>
        <family val="2"/>
      </rPr>
      <t xml:space="preserve">전사</t>
    </r>
    <r>
      <rPr>
        <b val="true"/>
        <sz val="16"/>
        <color rgb="FFC8A24B"/>
        <rFont val="맑은 고딕"/>
        <family val="0"/>
        <charset val="1"/>
      </rPr>
      <t xml:space="preserve">(Warrior) </t>
    </r>
    <r>
      <rPr>
        <b val="true"/>
        <sz val="16"/>
        <color rgb="FFC8A24B"/>
        <rFont val="Noto Sans CJK SC"/>
        <family val="2"/>
      </rPr>
      <t xml:space="preserve">스킬트리</t>
    </r>
  </si>
  <si>
    <r>
      <rPr>
        <i val="true"/>
        <sz val="9"/>
        <color rgb="FF6B5A40"/>
        <rFont val="Noto Sans CJK SC"/>
        <family val="2"/>
      </rPr>
      <t xml:space="preserve">최초 근접무기로 </t>
    </r>
    <r>
      <rPr>
        <i val="true"/>
        <sz val="9"/>
        <color rgb="FF6B5A40"/>
        <rFont val="맑은 고딕"/>
        <family val="0"/>
        <charset val="1"/>
      </rPr>
      <t xml:space="preserve">5</t>
    </r>
    <r>
      <rPr>
        <i val="true"/>
        <sz val="9"/>
        <color rgb="FF6B5A40"/>
        <rFont val="Noto Sans CJK SC"/>
        <family val="2"/>
      </rPr>
      <t xml:space="preserve">세부직업 분화 </t>
    </r>
    <r>
      <rPr>
        <i val="true"/>
        <sz val="9"/>
        <color rgb="FF6B5A40"/>
        <rFont val="맑은 고딕"/>
        <family val="0"/>
        <charset val="1"/>
      </rPr>
      <t xml:space="preserve">· Lv1~100 · </t>
    </r>
    <r>
      <rPr>
        <i val="true"/>
        <sz val="9"/>
        <color rgb="FF6B5A40"/>
        <rFont val="Noto Sans CJK SC"/>
        <family val="2"/>
      </rPr>
      <t xml:space="preserve">빨강</t>
    </r>
    <r>
      <rPr>
        <i val="true"/>
        <sz val="9"/>
        <color rgb="FF6B5A40"/>
        <rFont val="맑은 고딕"/>
        <family val="0"/>
        <charset val="1"/>
      </rPr>
      <t xml:space="preserve">=30~40Lv </t>
    </r>
    <r>
      <rPr>
        <i val="true"/>
        <sz val="9"/>
        <color rgb="FF6B5A40"/>
        <rFont val="Noto Sans CJK SC"/>
        <family val="2"/>
      </rPr>
      <t xml:space="preserve">원거리 투사 해금</t>
    </r>
  </si>
  <si>
    <r>
      <rPr>
        <b val="true"/>
        <sz val="11"/>
        <color rgb="FFF4ECDD"/>
        <rFont val="Noto Sans CJK SC"/>
        <family val="2"/>
      </rPr>
      <t xml:space="preserve">◈ 검과 방패 </t>
    </r>
    <r>
      <rPr>
        <b val="true"/>
        <sz val="11"/>
        <color rgb="FFF4ECDD"/>
        <rFont val="맑은 고딕"/>
        <family val="0"/>
        <charset val="1"/>
      </rPr>
      <t xml:space="preserve">(Sword &amp; Shield)  —  </t>
    </r>
    <r>
      <rPr>
        <b val="true"/>
        <sz val="11"/>
        <color rgb="FFF4ECDD"/>
        <rFont val="Noto Sans CJK SC"/>
        <family val="2"/>
      </rPr>
      <t xml:space="preserve">탱커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수호 — 파티 보호와 어그로 관리</t>
    </r>
  </si>
  <si>
    <t xml:space="preserve">장점</t>
  </si>
  <si>
    <r>
      <rPr>
        <sz val="10"/>
        <color rgb="FF2E7D32"/>
        <rFont val="Noto Sans CJK SC"/>
        <family val="2"/>
      </rPr>
      <t xml:space="preserve">최고 수준 생존력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피해감소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도발로 적 어그로 장악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강력한 군중제어</t>
    </r>
    <r>
      <rPr>
        <sz val="10"/>
        <color rgb="FF2E7D32"/>
        <rFont val="맑은 고딕"/>
        <family val="0"/>
        <charset val="1"/>
      </rPr>
      <t xml:space="preserve">(</t>
    </r>
    <r>
      <rPr>
        <sz val="10"/>
        <color rgb="FF2E7D32"/>
        <rFont val="Noto Sans CJK SC"/>
        <family val="2"/>
      </rPr>
      <t xml:space="preserve">기절</t>
    </r>
    <r>
      <rPr>
        <sz val="10"/>
        <color rgb="FF2E7D32"/>
        <rFont val="맑은 고딕"/>
        <family val="0"/>
        <charset val="1"/>
      </rPr>
      <t xml:space="preserve">)</t>
    </r>
  </si>
  <si>
    <t xml:space="preserve">단점</t>
  </si>
  <si>
    <r>
      <rPr>
        <sz val="10"/>
        <color rgb="FFC0392B"/>
        <rFont val="Noto Sans CJK SC"/>
        <family val="2"/>
      </rPr>
      <t xml:space="preserve">낮은 단일</t>
    </r>
    <r>
      <rPr>
        <sz val="10"/>
        <color rgb="FFC0392B"/>
        <rFont val="맑은 고딕"/>
        <family val="0"/>
        <charset val="1"/>
      </rPr>
      <t xml:space="preserve">·</t>
    </r>
    <r>
      <rPr>
        <sz val="10"/>
        <color rgb="FFC0392B"/>
        <rFont val="Noto Sans CJK SC"/>
        <family val="2"/>
      </rPr>
      <t xml:space="preserve">광역 데미지</t>
    </r>
    <r>
      <rPr>
        <sz val="10"/>
        <color rgb="FFC0392B"/>
        <rFont val="맑은 고딕"/>
        <family val="0"/>
        <charset val="1"/>
      </rPr>
      <t xml:space="preserve">(</t>
    </r>
    <r>
      <rPr>
        <sz val="10"/>
        <color rgb="FFC0392B"/>
        <rFont val="Noto Sans CJK SC"/>
        <family val="2"/>
      </rPr>
      <t xml:space="preserve">딜 효율 최하위</t>
    </r>
    <r>
      <rPr>
        <sz val="10"/>
        <color rgb="FFC0392B"/>
        <rFont val="맑은 고딕"/>
        <family val="0"/>
        <charset val="1"/>
      </rPr>
      <t xml:space="preserve">), </t>
    </r>
    <r>
      <rPr>
        <sz val="10"/>
        <color rgb="FFC0392B"/>
        <rFont val="Noto Sans CJK SC"/>
        <family val="2"/>
      </rPr>
      <t xml:space="preserve">솔로 사냥 속도 느림</t>
    </r>
  </si>
  <si>
    <r>
      <rPr>
        <b val="true"/>
        <sz val="10"/>
        <color rgb="FFF4ECDD"/>
        <rFont val="Noto Sans CJK SC"/>
        <family val="2"/>
      </rPr>
      <t xml:space="preserve">자원</t>
    </r>
    <r>
      <rPr>
        <b val="true"/>
        <sz val="10"/>
        <color rgb="FFF4ECDD"/>
        <rFont val="맑은 고딕"/>
        <family val="0"/>
        <charset val="1"/>
      </rPr>
      <t xml:space="preserve">/</t>
    </r>
    <r>
      <rPr>
        <b val="true"/>
        <sz val="10"/>
        <color rgb="FFF4ECDD"/>
        <rFont val="Noto Sans CJK SC"/>
        <family val="2"/>
      </rPr>
      <t xml:space="preserve">쿨다운</t>
    </r>
  </si>
  <si>
    <r>
      <rPr>
        <b val="true"/>
        <sz val="10"/>
        <color rgb="FFF4ECDD"/>
        <rFont val="Noto Sans CJK SC"/>
        <family val="2"/>
      </rPr>
      <t xml:space="preserve">효과 </t>
    </r>
    <r>
      <rPr>
        <b val="true"/>
        <sz val="10"/>
        <color rgb="FFF4ECDD"/>
        <rFont val="맑은 고딕"/>
        <family val="0"/>
        <charset val="1"/>
      </rPr>
      <t xml:space="preserve">(</t>
    </r>
    <r>
      <rPr>
        <b val="true"/>
        <sz val="10"/>
        <color rgb="FFF4ECDD"/>
        <rFont val="Noto Sans CJK SC"/>
        <family val="2"/>
      </rPr>
      <t xml:space="preserve">특색</t>
    </r>
    <r>
      <rPr>
        <b val="true"/>
        <sz val="10"/>
        <color rgb="FFF4ECDD"/>
        <rFont val="맑은 고딕"/>
        <family val="0"/>
        <charset val="1"/>
      </rPr>
      <t xml:space="preserve">)</t>
    </r>
  </si>
  <si>
    <t xml:space="preserve">기본 베기</t>
  </si>
  <si>
    <r>
      <rPr>
        <sz val="9"/>
        <color rgb="FF000000"/>
        <rFont val="Noto Sans CJK SC"/>
        <family val="2"/>
      </rPr>
      <t xml:space="preserve">검 단일 근접 공격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분노 소량 생성</t>
    </r>
  </si>
  <si>
    <t xml:space="preserve">방패 강타</t>
  </si>
  <si>
    <r>
      <rPr>
        <sz val="9"/>
        <color rgb="FF000000"/>
        <rFont val="Noto Sans CJK SC"/>
        <family val="2"/>
      </rPr>
      <t xml:space="preserve">분노</t>
    </r>
    <r>
      <rPr>
        <sz val="9"/>
        <color rgb="FF000000"/>
        <rFont val="맑은 고딕"/>
        <family val="0"/>
        <charset val="1"/>
      </rPr>
      <t xml:space="preserve">15</t>
    </r>
  </si>
  <si>
    <r>
      <rPr>
        <sz val="9"/>
        <color rgb="FF000000"/>
        <rFont val="Noto Sans CJK SC"/>
        <family val="2"/>
      </rPr>
      <t xml:space="preserve">전방 강타 </t>
    </r>
    <r>
      <rPr>
        <sz val="9"/>
        <color rgb="FF000000"/>
        <rFont val="맑은 고딕"/>
        <family val="0"/>
        <charset val="1"/>
      </rPr>
      <t xml:space="preserve">+ 1</t>
    </r>
    <r>
      <rPr>
        <sz val="9"/>
        <color rgb="FF000000"/>
        <rFont val="Noto Sans CJK SC"/>
        <family val="2"/>
      </rPr>
      <t xml:space="preserve">초 기절</t>
    </r>
  </si>
  <si>
    <t xml:space="preserve">도발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</si>
  <si>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</si>
  <si>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Noto Sans CJK SC"/>
        <family val="2"/>
      </rPr>
      <t xml:space="preserve">범위 내 적 어그로 강제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받는피해↓</t>
    </r>
  </si>
  <si>
    <t xml:space="preserve">방패 올리기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</si>
  <si>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</si>
  <si>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초간 피해감소 </t>
    </r>
    <r>
      <rPr>
        <sz val="9"/>
        <color rgb="FF000000"/>
        <rFont val="맑은 고딕"/>
        <family val="0"/>
        <charset val="1"/>
      </rPr>
      <t xml:space="preserve">50% + </t>
    </r>
    <r>
      <rPr>
        <sz val="9"/>
        <color rgb="FF000000"/>
        <rFont val="Noto Sans CJK SC"/>
        <family val="2"/>
      </rPr>
      <t xml:space="preserve">정면 막기</t>
    </r>
  </si>
  <si>
    <t xml:space="preserve">보호의 함성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</si>
  <si>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초</t>
    </r>
  </si>
  <si>
    <t xml:space="preserve">주변 아군 흡수 보호막 부여</t>
  </si>
  <si>
    <t xml:space="preserve">방패 투척</t>
  </si>
  <si>
    <t xml:space="preserve">원거리</t>
  </si>
  <si>
    <r>
      <rPr>
        <sz val="9"/>
        <color rgb="FF000000"/>
        <rFont val="Noto Sans CJK SC"/>
        <family val="2"/>
      </rPr>
      <t xml:space="preserve">분노</t>
    </r>
    <r>
      <rPr>
        <sz val="9"/>
        <color rgb="FF000000"/>
        <rFont val="맑은 고딕"/>
        <family val="0"/>
        <charset val="1"/>
      </rPr>
      <t xml:space="preserve">20</t>
    </r>
  </si>
  <si>
    <r>
      <rPr>
        <sz val="9"/>
        <color rgb="FF000000"/>
        <rFont val="Noto Sans CJK SC"/>
        <family val="2"/>
      </rPr>
      <t xml:space="preserve">방패를 던져 직선 관통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둔화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원거리 진입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</si>
  <si>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응징의 일격</t>
  </si>
  <si>
    <t xml:space="preserve">액티브</t>
  </si>
  <si>
    <r>
      <rPr>
        <sz val="9"/>
        <color rgb="FF000000"/>
        <rFont val="Noto Sans CJK SC"/>
        <family val="2"/>
      </rPr>
      <t xml:space="preserve">분노</t>
    </r>
    <r>
      <rPr>
        <sz val="9"/>
        <color rgb="FF000000"/>
        <rFont val="맑은 고딕"/>
        <family val="0"/>
        <charset val="1"/>
      </rPr>
      <t xml:space="preserve">30</t>
    </r>
  </si>
  <si>
    <r>
      <rPr>
        <sz val="9"/>
        <color rgb="FF000000"/>
        <rFont val="Noto Sans CJK SC"/>
        <family val="2"/>
      </rPr>
      <t xml:space="preserve">막기 성공 직후 사용 시 데미지 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배</t>
    </r>
  </si>
  <si>
    <r>
      <rPr>
        <b val="true"/>
        <sz val="10"/>
        <color rgb="FFC8A24B"/>
        <rFont val="Noto Sans CJK SC"/>
        <family val="2"/>
      </rPr>
      <t xml:space="preserve">철벽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</si>
  <si>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방어도의 </t>
    </r>
    <r>
      <rPr>
        <sz val="9"/>
        <color rgb="FF000000"/>
        <rFont val="맑은 고딕"/>
        <family val="0"/>
        <charset val="1"/>
      </rPr>
      <t xml:space="preserve">8%</t>
    </r>
    <r>
      <rPr>
        <sz val="9"/>
        <color rgb="FF000000"/>
        <rFont val="Noto Sans CJK SC"/>
        <family val="2"/>
      </rPr>
      <t xml:space="preserve">를 추가 피해감소로 전환</t>
    </r>
  </si>
  <si>
    <t xml:space="preserve">불굴의 의지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</si>
  <si>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60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</si>
  <si>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초간 무적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군중제어 면역</t>
    </r>
  </si>
  <si>
    <t xml:space="preserve">대지 분쇄</t>
  </si>
  <si>
    <t xml:space="preserve">광역</t>
  </si>
  <si>
    <r>
      <rPr>
        <sz val="9"/>
        <color rgb="FF000000"/>
        <rFont val="Noto Sans CJK SC"/>
        <family val="2"/>
      </rPr>
      <t xml:space="preserve">분노</t>
    </r>
    <r>
      <rPr>
        <sz val="9"/>
        <color rgb="FF000000"/>
        <rFont val="맑은 고딕"/>
        <family val="0"/>
        <charset val="1"/>
      </rPr>
      <t xml:space="preserve">40</t>
    </r>
  </si>
  <si>
    <r>
      <rPr>
        <sz val="9"/>
        <color rgb="FF000000"/>
        <rFont val="Noto Sans CJK SC"/>
        <family val="2"/>
      </rPr>
      <t xml:space="preserve">주변 광역 강타 </t>
    </r>
    <r>
      <rPr>
        <sz val="9"/>
        <color rgb="FF000000"/>
        <rFont val="맑은 고딕"/>
        <family val="0"/>
        <charset val="1"/>
      </rPr>
      <t xml:space="preserve">+ 2</t>
    </r>
    <r>
      <rPr>
        <sz val="9"/>
        <color rgb="FF000000"/>
        <rFont val="Noto Sans CJK SC"/>
        <family val="2"/>
      </rPr>
      <t xml:space="preserve">초 기절</t>
    </r>
  </si>
  <si>
    <r>
      <rPr>
        <b val="true"/>
        <sz val="10"/>
        <color rgb="FFC8A24B"/>
        <rFont val="Noto Sans CJK SC"/>
        <family val="2"/>
      </rPr>
      <t xml:space="preserve">수호자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</si>
  <si>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주변 아군이 받는 피해의 </t>
    </r>
    <r>
      <rPr>
        <sz val="9"/>
        <color rgb="FF000000"/>
        <rFont val="맑은 고딕"/>
        <family val="0"/>
        <charset val="1"/>
      </rPr>
      <t xml:space="preserve">15%</t>
    </r>
    <r>
      <rPr>
        <sz val="9"/>
        <color rgb="FF000000"/>
        <rFont val="Noto Sans CJK SC"/>
        <family val="2"/>
      </rPr>
      <t xml:space="preserve">를 대신 흡수</t>
    </r>
  </si>
  <si>
    <t xml:space="preserve">불괴의 성벽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</si>
  <si>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180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</si>
  <si>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초 무적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광역 강제도발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받은피해 반사</t>
    </r>
  </si>
  <si>
    <r>
      <rPr>
        <b val="true"/>
        <sz val="11"/>
        <color rgb="FFF4ECDD"/>
        <rFont val="Noto Sans CJK SC"/>
        <family val="2"/>
      </rPr>
      <t xml:space="preserve">◈ 양손검 </t>
    </r>
    <r>
      <rPr>
        <b val="true"/>
        <sz val="11"/>
        <color rgb="FFF4ECDD"/>
        <rFont val="맑은 고딕"/>
        <family val="0"/>
        <charset val="1"/>
      </rPr>
      <t xml:space="preserve">(Greatsword)  —  </t>
    </r>
    <r>
      <rPr>
        <b val="true"/>
        <sz val="11"/>
        <color rgb="FFF4ECDD"/>
        <rFont val="Noto Sans CJK SC"/>
        <family val="2"/>
      </rPr>
      <t xml:space="preserve">광역 근접딜러 — 다수의 적을 휩쓰는 균형형</t>
    </r>
  </si>
  <si>
    <r>
      <rPr>
        <sz val="10"/>
        <color rgb="FF2E7D32"/>
        <rFont val="Noto Sans CJK SC"/>
        <family val="2"/>
      </rPr>
      <t xml:space="preserve">우수한 광역 데미지와 범위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안정적인 딜</t>
    </r>
    <r>
      <rPr>
        <sz val="10"/>
        <color rgb="FF2E7D32"/>
        <rFont val="맑은 고딕"/>
        <family val="0"/>
        <charset val="1"/>
      </rPr>
      <t xml:space="preserve">+</t>
    </r>
    <r>
      <rPr>
        <sz val="10"/>
        <color rgb="FF2E7D32"/>
        <rFont val="Noto Sans CJK SC"/>
        <family val="2"/>
      </rPr>
      <t xml:space="preserve">생존 균형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처형기로 마무리 강함</t>
    </r>
  </si>
  <si>
    <r>
      <rPr>
        <sz val="10"/>
        <color rgb="FFC0392B"/>
        <rFont val="Noto Sans CJK SC"/>
        <family val="2"/>
      </rPr>
      <t xml:space="preserve">느린 공격속도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단일 보스전 </t>
    </r>
    <r>
      <rPr>
        <sz val="10"/>
        <color rgb="FFC0392B"/>
        <rFont val="맑은 고딕"/>
        <family val="0"/>
        <charset val="1"/>
      </rPr>
      <t xml:space="preserve">DPS</t>
    </r>
    <r>
      <rPr>
        <sz val="10"/>
        <color rgb="FFC0392B"/>
        <rFont val="Noto Sans CJK SC"/>
        <family val="2"/>
      </rPr>
      <t xml:space="preserve">는 도끼</t>
    </r>
    <r>
      <rPr>
        <sz val="10"/>
        <color rgb="FFC0392B"/>
        <rFont val="맑은 고딕"/>
        <family val="0"/>
        <charset val="1"/>
      </rPr>
      <t xml:space="preserve">/</t>
    </r>
    <r>
      <rPr>
        <sz val="10"/>
        <color rgb="FFC0392B"/>
        <rFont val="Noto Sans CJK SC"/>
        <family val="2"/>
      </rPr>
      <t xml:space="preserve">단도보다 낮음</t>
    </r>
  </si>
  <si>
    <t xml:space="preserve">강타</t>
  </si>
  <si>
    <t xml:space="preserve">양손검 강한 단일 베기</t>
  </si>
  <si>
    <t xml:space="preserve">회전 베기</t>
  </si>
  <si>
    <r>
      <rPr>
        <sz val="9"/>
        <color rgb="FF000000"/>
        <rFont val="Noto Sans CJK SC"/>
        <family val="2"/>
      </rPr>
      <t xml:space="preserve">제자리 </t>
    </r>
    <r>
      <rPr>
        <sz val="9"/>
        <color rgb="FF000000"/>
        <rFont val="맑은 고딕"/>
        <family val="0"/>
        <charset val="1"/>
      </rPr>
      <t xml:space="preserve">360° </t>
    </r>
    <r>
      <rPr>
        <sz val="9"/>
        <color rgb="FF000000"/>
        <rFont val="Noto Sans CJK SC"/>
        <family val="2"/>
      </rPr>
      <t xml:space="preserve">광역 베기</t>
    </r>
  </si>
  <si>
    <t xml:space="preserve">돌진 베기</t>
  </si>
  <si>
    <t xml:space="preserve">전방 돌진하며 경로상 적 타격</t>
  </si>
  <si>
    <t xml:space="preserve">분쇄의 일격</t>
  </si>
  <si>
    <r>
      <rPr>
        <sz val="9"/>
        <color rgb="FF000000"/>
        <rFont val="Noto Sans CJK SC"/>
        <family val="2"/>
      </rPr>
      <t xml:space="preserve">분노</t>
    </r>
    <r>
      <rPr>
        <sz val="9"/>
        <color rgb="FF000000"/>
        <rFont val="맑은 고딕"/>
        <family val="0"/>
        <charset val="1"/>
      </rPr>
      <t xml:space="preserve">25</t>
    </r>
  </si>
  <si>
    <t xml:space="preserve">충전 후 강력한 단일 내려치기</t>
  </si>
  <si>
    <t xml:space="preserve">검기 발사</t>
  </si>
  <si>
    <r>
      <rPr>
        <sz val="9"/>
        <color rgb="FF000000"/>
        <rFont val="Noto Sans CJK SC"/>
        <family val="2"/>
      </rPr>
      <t xml:space="preserve">검강을 날려 직선 관통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원거리 진입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</si>
  <si>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대지 가르기</t>
  </si>
  <si>
    <t xml:space="preserve">전방 직선 균열 광역</t>
  </si>
  <si>
    <r>
      <rPr>
        <b val="true"/>
        <sz val="10"/>
        <color rgb="FFC8A24B"/>
        <rFont val="Noto Sans CJK SC"/>
        <family val="2"/>
      </rPr>
      <t xml:space="preserve">양손 숙련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</si>
  <si>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양손무기 데미지</t>
    </r>
    <r>
      <rPr>
        <sz val="9"/>
        <color rgb="FF000000"/>
        <rFont val="맑은 고딕"/>
        <family val="0"/>
        <charset val="1"/>
      </rPr>
      <t xml:space="preserve">+20%, </t>
    </r>
    <r>
      <rPr>
        <sz val="9"/>
        <color rgb="FF000000"/>
        <rFont val="Noto Sans CJK SC"/>
        <family val="2"/>
      </rPr>
      <t xml:space="preserve">공속 페널티 완화</t>
    </r>
  </si>
  <si>
    <t xml:space="preserve">광란의 연격</t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</si>
  <si>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회 연속 베기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총 </t>
    </r>
    <r>
      <rPr>
        <sz val="9"/>
        <color rgb="FF000000"/>
        <rFont val="맑은 고딕"/>
        <family val="0"/>
        <charset val="1"/>
      </rPr>
      <t xml:space="preserve">3.5</t>
    </r>
    <r>
      <rPr>
        <sz val="9"/>
        <color rgb="FF000000"/>
        <rFont val="Noto Sans CJK SC"/>
        <family val="2"/>
      </rPr>
      <t xml:space="preserve">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</si>
  <si>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참수</t>
  </si>
  <si>
    <r>
      <rPr>
        <sz val="9"/>
        <color rgb="FF000000"/>
        <rFont val="Noto Sans CJK SC"/>
        <family val="2"/>
      </rPr>
      <t xml:space="preserve">분노</t>
    </r>
    <r>
      <rPr>
        <sz val="9"/>
        <color rgb="FF000000"/>
        <rFont val="맑은 고딕"/>
        <family val="0"/>
        <charset val="1"/>
      </rPr>
      <t xml:space="preserve">35</t>
    </r>
  </si>
  <si>
    <r>
      <rPr>
        <sz val="9"/>
        <color rgb="FF000000"/>
        <rFont val="Noto Sans CJK SC"/>
        <family val="2"/>
      </rPr>
      <t xml:space="preserve">체력 </t>
    </r>
    <r>
      <rPr>
        <sz val="9"/>
        <color rgb="FF000000"/>
        <rFont val="맑은 고딕"/>
        <family val="0"/>
        <charset val="1"/>
      </rPr>
      <t xml:space="preserve">25% </t>
    </r>
    <r>
      <rPr>
        <sz val="9"/>
        <color rgb="FF000000"/>
        <rFont val="Noto Sans CJK SC"/>
        <family val="2"/>
      </rPr>
      <t xml:space="preserve">이하 대상에게 처형 피해</t>
    </r>
  </si>
  <si>
    <r>
      <rPr>
        <b val="true"/>
        <sz val="10"/>
        <color rgb="FFC8A24B"/>
        <rFont val="Noto Sans CJK SC"/>
        <family val="2"/>
      </rPr>
      <t xml:space="preserve">거인의 힘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</si>
  <si>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모든 광역 스킬 범위</t>
    </r>
    <r>
      <rPr>
        <sz val="9"/>
        <color rgb="FF000000"/>
        <rFont val="맑은 고딕"/>
        <family val="0"/>
        <charset val="1"/>
      </rPr>
      <t xml:space="preserve">+30%</t>
    </r>
  </si>
  <si>
    <t xml:space="preserve">천지개벽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</si>
  <si>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150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</si>
  <si>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Noto Sans CJK SC"/>
        <family val="2"/>
      </rPr>
      <t xml:space="preserve">초대형 광역 내려치기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강력 넉백</t>
    </r>
  </si>
  <si>
    <r>
      <rPr>
        <b val="true"/>
        <sz val="11"/>
        <color rgb="FFF4ECDD"/>
        <rFont val="Noto Sans CJK SC"/>
        <family val="2"/>
      </rPr>
      <t xml:space="preserve">◈ 도끼 </t>
    </r>
    <r>
      <rPr>
        <b val="true"/>
        <sz val="11"/>
        <color rgb="FFF4ECDD"/>
        <rFont val="맑은 고딕"/>
        <family val="0"/>
        <charset val="1"/>
      </rPr>
      <t xml:space="preserve">(Axe / Berserker)  —  </t>
    </r>
    <r>
      <rPr>
        <b val="true"/>
        <sz val="11"/>
        <color rgb="FFF4ECDD"/>
        <rFont val="Noto Sans CJK SC"/>
        <family val="2"/>
      </rPr>
      <t xml:space="preserve">버서커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폭딜 — 광폭화로 폭발적 화력</t>
    </r>
  </si>
  <si>
    <r>
      <rPr>
        <sz val="10"/>
        <color rgb="FF2E7D32"/>
        <rFont val="Noto Sans CJK SC"/>
        <family val="2"/>
      </rPr>
      <t xml:space="preserve">최상위 단일 폭딜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출혈 </t>
    </r>
    <r>
      <rPr>
        <sz val="10"/>
        <color rgb="FF2E7D32"/>
        <rFont val="맑은 고딕"/>
        <family val="0"/>
        <charset val="1"/>
      </rPr>
      <t xml:space="preserve">DoT·</t>
    </r>
    <r>
      <rPr>
        <sz val="10"/>
        <color rgb="FF2E7D32"/>
        <rFont val="Noto Sans CJK SC"/>
        <family val="2"/>
      </rPr>
      <t xml:space="preserve">처형 강력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흡혈로 자체 유지력 확보</t>
    </r>
  </si>
  <si>
    <r>
      <rPr>
        <sz val="10"/>
        <color rgb="FFC0392B"/>
        <rFont val="Noto Sans CJK SC"/>
        <family val="2"/>
      </rPr>
      <t xml:space="preserve">낮은 방어력</t>
    </r>
    <r>
      <rPr>
        <sz val="10"/>
        <color rgb="FFC0392B"/>
        <rFont val="맑은 고딕"/>
        <family val="0"/>
        <charset val="1"/>
      </rPr>
      <t xml:space="preserve">(</t>
    </r>
    <r>
      <rPr>
        <sz val="10"/>
        <color rgb="FFC0392B"/>
        <rFont val="Noto Sans CJK SC"/>
        <family val="2"/>
      </rPr>
      <t xml:space="preserve">글래스 근접</t>
    </r>
    <r>
      <rPr>
        <sz val="10"/>
        <color rgb="FFC0392B"/>
        <rFont val="맑은 고딕"/>
        <family val="0"/>
        <charset val="1"/>
      </rPr>
      <t xml:space="preserve">), </t>
    </r>
    <r>
      <rPr>
        <sz val="10"/>
        <color rgb="FFC0392B"/>
        <rFont val="Noto Sans CJK SC"/>
        <family val="2"/>
      </rPr>
      <t xml:space="preserve">광폭화 시 받는 피해 증가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자버프 의존도 높음</t>
    </r>
  </si>
  <si>
    <t xml:space="preserve">도끼질</t>
  </si>
  <si>
    <t xml:space="preserve">도끼 단일 가격</t>
  </si>
  <si>
    <t xml:space="preserve">출혈 가르기</t>
  </si>
  <si>
    <r>
      <rPr>
        <sz val="9"/>
        <color rgb="FF000000"/>
        <rFont val="Noto Sans CJK SC"/>
        <family val="2"/>
      </rPr>
      <t xml:space="preserve">베기 </t>
    </r>
    <r>
      <rPr>
        <sz val="9"/>
        <color rgb="FF000000"/>
        <rFont val="맑은 고딕"/>
        <family val="0"/>
        <charset val="1"/>
      </rPr>
      <t xml:space="preserve">+ 5</t>
    </r>
    <r>
      <rPr>
        <sz val="9"/>
        <color rgb="FF000000"/>
        <rFont val="Noto Sans CJK SC"/>
        <family val="2"/>
      </rPr>
      <t xml:space="preserve">초 출혈 </t>
    </r>
    <r>
      <rPr>
        <sz val="9"/>
        <color rgb="FF000000"/>
        <rFont val="맑은 고딕"/>
        <family val="0"/>
        <charset val="1"/>
      </rPr>
      <t xml:space="preserve">DoT(</t>
    </r>
    <r>
      <rPr>
        <sz val="9"/>
        <color rgb="FF000000"/>
        <rFont val="Noto Sans CJK SC"/>
        <family val="2"/>
      </rPr>
      <t xml:space="preserve">총 </t>
    </r>
    <r>
      <rPr>
        <sz val="9"/>
        <color rgb="FF000000"/>
        <rFont val="맑은 고딕"/>
        <family val="0"/>
        <charset val="1"/>
      </rPr>
      <t xml:space="preserve">1.0</t>
    </r>
    <r>
      <rPr>
        <sz val="9"/>
        <color rgb="FF000000"/>
        <rFont val="Noto Sans CJK SC"/>
        <family val="2"/>
      </rPr>
      <t xml:space="preserve">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</si>
  <si>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광폭화</t>
  </si>
  <si>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초간 공속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데미지</t>
    </r>
    <r>
      <rPr>
        <sz val="9"/>
        <color rgb="FF000000"/>
        <rFont val="맑은 고딕"/>
        <family val="0"/>
        <charset val="1"/>
      </rPr>
      <t xml:space="preserve">+30%, </t>
    </r>
    <r>
      <rPr>
        <sz val="9"/>
        <color rgb="FF000000"/>
        <rFont val="Noto Sans CJK SC"/>
        <family val="2"/>
      </rPr>
      <t xml:space="preserve">받는피해</t>
    </r>
    <r>
      <rPr>
        <sz val="9"/>
        <color rgb="FF000000"/>
        <rFont val="맑은 고딕"/>
        <family val="0"/>
        <charset val="1"/>
      </rPr>
      <t xml:space="preserve">+15%</t>
    </r>
  </si>
  <si>
    <t xml:space="preserve">처형</t>
  </si>
  <si>
    <t xml:space="preserve">체력 낮은 대상 추가 피해</t>
  </si>
  <si>
    <t xml:space="preserve">피의 갈증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</si>
  <si>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15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</si>
  <si>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초간 가한 피해의 </t>
    </r>
    <r>
      <rPr>
        <sz val="9"/>
        <color rgb="FF000000"/>
        <rFont val="맑은 고딕"/>
        <family val="0"/>
        <charset val="1"/>
      </rPr>
      <t xml:space="preserve">15% </t>
    </r>
    <r>
      <rPr>
        <sz val="9"/>
        <color rgb="FF000000"/>
        <rFont val="Noto Sans CJK SC"/>
        <family val="2"/>
      </rPr>
      <t xml:space="preserve">흡혈</t>
    </r>
  </si>
  <si>
    <t xml:space="preserve">투부</t>
  </si>
  <si>
    <r>
      <rPr>
        <sz val="9"/>
        <color rgb="FF000000"/>
        <rFont val="Noto Sans CJK SC"/>
        <family val="2"/>
      </rPr>
      <t xml:space="preserve">도끼를 던져 원거리 타격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원거리 진입</t>
    </r>
    <r>
      <rPr>
        <sz val="9"/>
        <color rgb="FF000000"/>
        <rFont val="맑은 고딕"/>
        <family val="0"/>
        <charset val="1"/>
      </rPr>
      <t xml:space="preserve">)</t>
    </r>
  </si>
  <si>
    <t xml:space="preserve">회오리 도끼</t>
  </si>
  <si>
    <t xml:space="preserve">주변 회전 광역 지속 타격</t>
  </si>
  <si>
    <r>
      <rPr>
        <b val="true"/>
        <sz val="10"/>
        <color rgb="FFC8A24B"/>
        <rFont val="Noto Sans CJK SC"/>
        <family val="2"/>
      </rPr>
      <t xml:space="preserve">유혈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</si>
  <si>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출혈 중첩 가능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최대 </t>
    </r>
    <r>
      <rPr>
        <sz val="9"/>
        <color rgb="FF000000"/>
        <rFont val="맑은 고딕"/>
        <family val="0"/>
        <charset val="1"/>
      </rPr>
      <t xml:space="preserve">5), </t>
    </r>
    <r>
      <rPr>
        <sz val="9"/>
        <color rgb="FF000000"/>
        <rFont val="Noto Sans CJK SC"/>
        <family val="2"/>
      </rPr>
      <t xml:space="preserve">중첩당 </t>
    </r>
    <r>
      <rPr>
        <sz val="9"/>
        <color rgb="FF000000"/>
        <rFont val="맑은 고딕"/>
        <family val="0"/>
        <charset val="1"/>
      </rPr>
      <t xml:space="preserve">DoT+</t>
    </r>
  </si>
  <si>
    <t xml:space="preserve">분노의 폭발</t>
  </si>
  <si>
    <t xml:space="preserve">분노 전량</t>
  </si>
  <si>
    <t xml:space="preserve">남은 분노 비례 폭발 피해</t>
  </si>
  <si>
    <t xml:space="preserve">학살</t>
  </si>
  <si>
    <r>
      <rPr>
        <sz val="9"/>
        <color rgb="FF000000"/>
        <rFont val="Noto Sans CJK SC"/>
        <family val="2"/>
      </rPr>
      <t xml:space="preserve">처치 시 광폭화 지속시간 갱신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연장</t>
    </r>
  </si>
  <si>
    <r>
      <rPr>
        <b val="true"/>
        <sz val="10"/>
        <color rgb="FFC8A24B"/>
        <rFont val="Noto Sans CJK SC"/>
        <family val="2"/>
      </rPr>
      <t xml:space="preserve">불사의 광기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</si>
  <si>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체력 </t>
    </r>
    <r>
      <rPr>
        <sz val="9"/>
        <color rgb="FF000000"/>
        <rFont val="맑은 고딕"/>
        <family val="0"/>
        <charset val="1"/>
      </rPr>
      <t xml:space="preserve">30% </t>
    </r>
    <r>
      <rPr>
        <sz val="9"/>
        <color rgb="FF000000"/>
        <rFont val="Noto Sans CJK SC"/>
        <family val="2"/>
      </rPr>
      <t xml:space="preserve">이하 시 받는 피해 </t>
    </r>
    <r>
      <rPr>
        <sz val="9"/>
        <color rgb="FF000000"/>
        <rFont val="맑은 고딕"/>
        <family val="0"/>
        <charset val="1"/>
      </rPr>
      <t xml:space="preserve">-25%</t>
    </r>
  </si>
  <si>
    <t xml:space="preserve">피의 광란</t>
  </si>
  <si>
    <r>
      <rPr>
        <sz val="9"/>
        <color rgb="FF000000"/>
        <rFont val="맑은 고딕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초간 무한 광폭화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광역 흡혈 폭주</t>
    </r>
  </si>
  <si>
    <r>
      <rPr>
        <b val="true"/>
        <sz val="11"/>
        <color rgb="FFF4ECDD"/>
        <rFont val="Noto Sans CJK SC"/>
        <family val="2"/>
      </rPr>
      <t xml:space="preserve">◈ 단도 </t>
    </r>
    <r>
      <rPr>
        <b val="true"/>
        <sz val="11"/>
        <color rgb="FFF4ECDD"/>
        <rFont val="맑은 고딕"/>
        <family val="0"/>
        <charset val="1"/>
      </rPr>
      <t xml:space="preserve">(Dagger / Duelist)  —  </t>
    </r>
    <r>
      <rPr>
        <b val="true"/>
        <sz val="11"/>
        <color rgb="FFF4ECDD"/>
        <rFont val="Noto Sans CJK SC"/>
        <family val="2"/>
      </rPr>
      <t xml:space="preserve">듀얼리스트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치명타 — 속도와 급소 노림</t>
    </r>
  </si>
  <si>
    <r>
      <rPr>
        <sz val="10"/>
        <color rgb="FF2E7D32"/>
        <rFont val="Noto Sans CJK SC"/>
        <family val="2"/>
      </rPr>
      <t xml:space="preserve">최고 공격속도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치명타 특화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회피 기동으로 생존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배후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은신 기습 강력</t>
    </r>
  </si>
  <si>
    <r>
      <rPr>
        <sz val="10"/>
        <color rgb="FFC0392B"/>
        <rFont val="Noto Sans CJK SC"/>
        <family val="2"/>
      </rPr>
      <t xml:space="preserve">발당 데미지 낮음</t>
    </r>
    <r>
      <rPr>
        <sz val="10"/>
        <color rgb="FFC0392B"/>
        <rFont val="맑은 고딕"/>
        <family val="0"/>
        <charset val="1"/>
      </rPr>
      <t xml:space="preserve">(</t>
    </r>
    <r>
      <rPr>
        <sz val="10"/>
        <color rgb="FFC0392B"/>
        <rFont val="Noto Sans CJK SC"/>
        <family val="2"/>
      </rPr>
      <t xml:space="preserve">누적형</t>
    </r>
    <r>
      <rPr>
        <sz val="10"/>
        <color rgb="FFC0392B"/>
        <rFont val="맑은 고딕"/>
        <family val="0"/>
        <charset val="1"/>
      </rPr>
      <t xml:space="preserve">), </t>
    </r>
    <r>
      <rPr>
        <sz val="10"/>
        <color rgb="FFC0392B"/>
        <rFont val="Noto Sans CJK SC"/>
        <family val="2"/>
      </rPr>
      <t xml:space="preserve">방어력 약함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정면전</t>
    </r>
    <r>
      <rPr>
        <sz val="10"/>
        <color rgb="FFC0392B"/>
        <rFont val="맑은 고딕"/>
        <family val="0"/>
        <charset val="1"/>
      </rPr>
      <t xml:space="preserve">·</t>
    </r>
    <r>
      <rPr>
        <sz val="10"/>
        <color rgb="FFC0392B"/>
        <rFont val="Noto Sans CJK SC"/>
        <family val="2"/>
      </rPr>
      <t xml:space="preserve">광역에 취약</t>
    </r>
  </si>
  <si>
    <t xml:space="preserve">찌르기</t>
  </si>
  <si>
    <t xml:space="preserve">빠른 단검 찌르기</t>
  </si>
  <si>
    <t xml:space="preserve">급소 가격</t>
  </si>
  <si>
    <r>
      <rPr>
        <sz val="9"/>
        <color rgb="FF000000"/>
        <rFont val="Noto Sans CJK SC"/>
        <family val="2"/>
      </rPr>
      <t xml:space="preserve">분노</t>
    </r>
    <r>
      <rPr>
        <sz val="9"/>
        <color rgb="FF000000"/>
        <rFont val="맑은 고딕"/>
        <family val="0"/>
        <charset val="1"/>
      </rPr>
      <t xml:space="preserve">10</t>
    </r>
  </si>
  <si>
    <t xml:space="preserve">치명타 시 추가 출혈</t>
  </si>
  <si>
    <t xml:space="preserve">회피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</si>
  <si>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</si>
  <si>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Noto Sans CJK SC"/>
        <family val="2"/>
      </rPr>
      <t xml:space="preserve">뒤로 구르며 </t>
    </r>
    <r>
      <rPr>
        <sz val="9"/>
        <color rgb="FF000000"/>
        <rFont val="맑은 고딕"/>
        <family val="0"/>
        <charset val="1"/>
      </rPr>
      <t xml:space="preserve">0.5</t>
    </r>
    <r>
      <rPr>
        <sz val="9"/>
        <color rgb="FF000000"/>
        <rFont val="Noto Sans CJK SC"/>
        <family val="2"/>
      </rPr>
      <t xml:space="preserve">초 무적 프레임</t>
    </r>
  </si>
  <si>
    <t xml:space="preserve">독 바르기</t>
  </si>
  <si>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초간 공격에 중독 </t>
    </r>
    <r>
      <rPr>
        <sz val="9"/>
        <color rgb="FF000000"/>
        <rFont val="맑은 고딕"/>
        <family val="0"/>
        <charset val="1"/>
      </rPr>
      <t xml:space="preserve">DoT </t>
    </r>
    <r>
      <rPr>
        <sz val="9"/>
        <color rgb="FF000000"/>
        <rFont val="Noto Sans CJK SC"/>
        <family val="2"/>
      </rPr>
      <t xml:space="preserve">부여</t>
    </r>
  </si>
  <si>
    <t xml:space="preserve">그림자 강타</t>
  </si>
  <si>
    <r>
      <rPr>
        <sz val="9"/>
        <color rgb="FF000000"/>
        <rFont val="Noto Sans CJK SC"/>
        <family val="2"/>
      </rPr>
      <t xml:space="preserve">배후 공격 시 데미지 </t>
    </r>
    <r>
      <rPr>
        <sz val="9"/>
        <color rgb="FF000000"/>
        <rFont val="맑은 고딕"/>
        <family val="0"/>
        <charset val="1"/>
      </rPr>
      <t xml:space="preserve">1.5</t>
    </r>
    <r>
      <rPr>
        <sz val="9"/>
        <color rgb="FF000000"/>
        <rFont val="Noto Sans CJK SC"/>
        <family val="2"/>
      </rPr>
      <t xml:space="preserve">배</t>
    </r>
  </si>
  <si>
    <t xml:space="preserve">비수 투척</t>
  </si>
  <si>
    <r>
      <rPr>
        <sz val="9"/>
        <color rgb="FF000000"/>
        <rFont val="Noto Sans CJK SC"/>
        <family val="2"/>
      </rPr>
      <t xml:space="preserve">단검 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개 부채꼴 투척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원거리 진입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</si>
  <si>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연환 찌르기</t>
  </si>
  <si>
    <r>
      <rPr>
        <sz val="9"/>
        <color rgb="FF000000"/>
        <rFont val="맑은 고딕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연속 고속 찌르기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총 </t>
    </r>
    <r>
      <rPr>
        <sz val="9"/>
        <color rgb="FF000000"/>
        <rFont val="맑은 고딕"/>
        <family val="0"/>
        <charset val="1"/>
      </rPr>
      <t xml:space="preserve">3.6</t>
    </r>
    <r>
      <rPr>
        <sz val="9"/>
        <color rgb="FF000000"/>
        <rFont val="Noto Sans CJK SC"/>
        <family val="2"/>
      </rPr>
      <t xml:space="preserve">배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</si>
  <si>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8A24B"/>
        <rFont val="Noto Sans CJK SC"/>
        <family val="2"/>
      </rPr>
      <t xml:space="preserve">치명 숙련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</si>
  <si>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치명타 확률</t>
    </r>
    <r>
      <rPr>
        <sz val="9"/>
        <color rgb="FF000000"/>
        <rFont val="맑은 고딕"/>
        <family val="0"/>
        <charset val="1"/>
      </rPr>
      <t xml:space="preserve">+15%, </t>
    </r>
    <r>
      <rPr>
        <sz val="9"/>
        <color rgb="FF000000"/>
        <rFont val="Noto Sans CJK SC"/>
        <family val="2"/>
      </rPr>
      <t xml:space="preserve">치명타 피해</t>
    </r>
    <r>
      <rPr>
        <sz val="9"/>
        <color rgb="FF000000"/>
        <rFont val="맑은 고딕"/>
        <family val="0"/>
        <charset val="1"/>
      </rPr>
      <t xml:space="preserve">+50%</t>
    </r>
  </si>
  <si>
    <t xml:space="preserve">암살</t>
  </si>
  <si>
    <r>
      <rPr>
        <sz val="9"/>
        <color rgb="FF000000"/>
        <rFont val="Noto Sans CJK SC"/>
        <family val="2"/>
      </rPr>
      <t xml:space="preserve">은신 후 기습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은신 중 첫 타 확정 치명</t>
    </r>
  </si>
  <si>
    <t xml:space="preserve">그림자 분신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</si>
  <si>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30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</si>
  <si>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Noto Sans CJK SC"/>
        <family val="2"/>
      </rPr>
      <t xml:space="preserve">분신 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기 소환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분신도 공격 복제</t>
    </r>
  </si>
  <si>
    <r>
      <rPr>
        <b val="true"/>
        <sz val="10"/>
        <color rgb="FFC8A24B"/>
        <rFont val="Noto Sans CJK SC"/>
        <family val="2"/>
      </rPr>
      <t xml:space="preserve">무영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</si>
  <si>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t xml:space="preserve">회피 직후 다음 공격 확정 치명타</t>
  </si>
  <si>
    <t xml:space="preserve">천 개의 칼날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</si>
  <si>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120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</si>
  <si>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Noto Sans CJK SC"/>
        <family val="2"/>
      </rPr>
      <t xml:space="preserve">대상 주변 전방위 난자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다단 광역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</si>
  <si>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F4ECDD"/>
        <rFont val="Noto Sans CJK SC"/>
        <family val="2"/>
      </rPr>
      <t xml:space="preserve">◈ 창 </t>
    </r>
    <r>
      <rPr>
        <b val="true"/>
        <sz val="11"/>
        <color rgb="FFF4ECDD"/>
        <rFont val="맑은 고딕"/>
        <family val="0"/>
        <charset val="1"/>
      </rPr>
      <t xml:space="preserve">(Spear / Polearm)  —  </t>
    </r>
    <r>
      <rPr>
        <b val="true"/>
        <sz val="11"/>
        <color rgb="FFF4ECDD"/>
        <rFont val="Noto Sans CJK SC"/>
        <family val="2"/>
      </rPr>
      <t xml:space="preserve">리치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견제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제어 — 긴 사거리 통제</t>
    </r>
  </si>
  <si>
    <r>
      <rPr>
        <sz val="10"/>
        <color rgb="FF2E7D32"/>
        <rFont val="Noto Sans CJK SC"/>
        <family val="2"/>
      </rPr>
      <t xml:space="preserve">근접 중 가장 긴 사거리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관통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견제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끌어당김 등 제어 풍부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안정적 균형형</t>
    </r>
  </si>
  <si>
    <r>
      <rPr>
        <sz val="10"/>
        <color rgb="FFC0392B"/>
        <rFont val="Noto Sans CJK SC"/>
        <family val="2"/>
      </rPr>
      <t xml:space="preserve">단일 순간딜은 도끼보다 낮음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좁은 공간에서 위력 반감</t>
    </r>
  </si>
  <si>
    <t xml:space="preserve">긴 사거리 단일 찌르기</t>
  </si>
  <si>
    <t xml:space="preserve">휩쓸기</t>
  </si>
  <si>
    <t xml:space="preserve">전방 부채꼴 광역</t>
  </si>
  <si>
    <t xml:space="preserve">관통 돌격</t>
  </si>
  <si>
    <r>
      <rPr>
        <sz val="9"/>
        <color rgb="FF000000"/>
        <rFont val="Noto Sans CJK SC"/>
        <family val="2"/>
      </rPr>
      <t xml:space="preserve">직선 돌진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경로 관통</t>
    </r>
  </si>
  <si>
    <t xml:space="preserve">견제</t>
  </si>
  <si>
    <r>
      <rPr>
        <sz val="9"/>
        <color rgb="FF000000"/>
        <rFont val="Noto Sans CJK SC"/>
        <family val="2"/>
      </rPr>
      <t xml:space="preserve">밀쳐내기 </t>
    </r>
    <r>
      <rPr>
        <sz val="9"/>
        <color rgb="FF000000"/>
        <rFont val="맑은 고딕"/>
        <family val="0"/>
        <charset val="1"/>
      </rPr>
      <t xml:space="preserve">+ 2</t>
    </r>
    <r>
      <rPr>
        <sz val="9"/>
        <color rgb="FF000000"/>
        <rFont val="Noto Sans CJK SC"/>
        <family val="2"/>
      </rPr>
      <t xml:space="preserve">초 둔화</t>
    </r>
  </si>
  <si>
    <t xml:space="preserve">회전 방어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</si>
  <si>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14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</si>
  <si>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Noto Sans CJK SC"/>
        <family val="2"/>
      </rPr>
      <t xml:space="preserve">주변 막기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막을 때마다 반격</t>
    </r>
  </si>
  <si>
    <t xml:space="preserve">투창</t>
  </si>
  <si>
    <r>
      <rPr>
        <sz val="9"/>
        <color rgb="FF000000"/>
        <rFont val="Noto Sans CJK SC"/>
        <family val="2"/>
      </rPr>
      <t xml:space="preserve">창을 던져 직선 관통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원거리 진입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</si>
  <si>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대지 강타</t>
  </si>
  <si>
    <r>
      <rPr>
        <sz val="9"/>
        <color rgb="FF000000"/>
        <rFont val="Noto Sans CJK SC"/>
        <family val="2"/>
      </rPr>
      <t xml:space="preserve">전방 광역 </t>
    </r>
    <r>
      <rPr>
        <sz val="9"/>
        <color rgb="FF000000"/>
        <rFont val="맑은 고딕"/>
        <family val="0"/>
        <charset val="1"/>
      </rPr>
      <t xml:space="preserve">+ 1.5</t>
    </r>
    <r>
      <rPr>
        <sz val="9"/>
        <color rgb="FF000000"/>
        <rFont val="Noto Sans CJK SC"/>
        <family val="2"/>
      </rPr>
      <t xml:space="preserve">초 기절</t>
    </r>
  </si>
  <si>
    <r>
      <rPr>
        <b val="true"/>
        <sz val="10"/>
        <color rgb="FFC8A24B"/>
        <rFont val="Noto Sans CJK SC"/>
        <family val="2"/>
      </rPr>
      <t xml:space="preserve">간격 지배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</si>
  <si>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사거리 내 적에게 데미지</t>
    </r>
    <r>
      <rPr>
        <sz val="9"/>
        <color rgb="FF000000"/>
        <rFont val="맑은 고딕"/>
        <family val="0"/>
        <charset val="1"/>
      </rPr>
      <t xml:space="preserve">+20%</t>
    </r>
  </si>
  <si>
    <t xml:space="preserve">연속 찌르기</t>
  </si>
  <si>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연속 관통 찌르기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총 </t>
    </r>
    <r>
      <rPr>
        <sz val="9"/>
        <color rgb="FF000000"/>
        <rFont val="맑은 고딕"/>
        <family val="0"/>
        <charset val="1"/>
      </rPr>
      <t xml:space="preserve">3.2</t>
    </r>
    <r>
      <rPr>
        <sz val="9"/>
        <color rgb="FF000000"/>
        <rFont val="Noto Sans CJK SC"/>
        <family val="2"/>
      </rPr>
      <t xml:space="preserve">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</si>
  <si>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용의 창</t>
  </si>
  <si>
    <t xml:space="preserve">초장거리 직선 관통 강타</t>
  </si>
  <si>
    <r>
      <rPr>
        <b val="true"/>
        <sz val="10"/>
        <color rgb="FFC8A24B"/>
        <rFont val="Noto Sans CJK SC"/>
        <family val="2"/>
      </rPr>
      <t xml:space="preserve">불퇴전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</si>
  <si>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군중제어 저항</t>
    </r>
    <r>
      <rPr>
        <sz val="9"/>
        <color rgb="FF000000"/>
        <rFont val="맑은 고딕"/>
        <family val="0"/>
        <charset val="1"/>
      </rPr>
      <t xml:space="preserve">+40%, </t>
    </r>
    <r>
      <rPr>
        <sz val="9"/>
        <color rgb="FF000000"/>
        <rFont val="Noto Sans CJK SC"/>
        <family val="2"/>
      </rPr>
      <t xml:space="preserve">피격 시 반격</t>
    </r>
  </si>
  <si>
    <t xml:space="preserve">천룡파</t>
  </si>
  <si>
    <r>
      <rPr>
        <sz val="9"/>
        <color rgb="FF000000"/>
        <rFont val="Noto Sans CJK SC"/>
        <family val="2"/>
      </rPr>
      <t xml:space="preserve">초광역 직선 관통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적 끌어당김</t>
    </r>
  </si>
  <si>
    <r>
      <rPr>
        <b val="true"/>
        <sz val="16"/>
        <color rgb="FFC8A24B"/>
        <rFont val="맑은 고딕"/>
        <family val="0"/>
        <charset val="1"/>
      </rPr>
      <t xml:space="preserve">20. </t>
    </r>
    <r>
      <rPr>
        <b val="true"/>
        <sz val="16"/>
        <color rgb="FFC8A24B"/>
        <rFont val="Noto Sans CJK SC"/>
        <family val="2"/>
      </rPr>
      <t xml:space="preserve">궁수</t>
    </r>
    <r>
      <rPr>
        <b val="true"/>
        <sz val="16"/>
        <color rgb="FFC8A24B"/>
        <rFont val="맑은 고딕"/>
        <family val="0"/>
        <charset val="1"/>
      </rPr>
      <t xml:space="preserve">(Archer) </t>
    </r>
    <r>
      <rPr>
        <b val="true"/>
        <sz val="16"/>
        <color rgb="FFC8A24B"/>
        <rFont val="Noto Sans CJK SC"/>
        <family val="2"/>
      </rPr>
      <t xml:space="preserve">스킬트리</t>
    </r>
  </si>
  <si>
    <r>
      <rPr>
        <i val="true"/>
        <sz val="9"/>
        <color rgb="FF6B5A40"/>
        <rFont val="Noto Sans CJK SC"/>
        <family val="2"/>
      </rPr>
      <t xml:space="preserve">발사 무기</t>
    </r>
    <r>
      <rPr>
        <i val="true"/>
        <sz val="9"/>
        <color rgb="FF6B5A40"/>
        <rFont val="맑은 고딕"/>
        <family val="0"/>
        <charset val="1"/>
      </rPr>
      <t xml:space="preserve">/</t>
    </r>
    <r>
      <rPr>
        <i val="true"/>
        <sz val="9"/>
        <color rgb="FF6B5A40"/>
        <rFont val="Noto Sans CJK SC"/>
        <family val="2"/>
      </rPr>
      <t xml:space="preserve">방식으로 </t>
    </r>
    <r>
      <rPr>
        <i val="true"/>
        <sz val="9"/>
        <color rgb="FF6B5A40"/>
        <rFont val="맑은 고딕"/>
        <family val="0"/>
        <charset val="1"/>
      </rPr>
      <t xml:space="preserve">5</t>
    </r>
    <r>
      <rPr>
        <i val="true"/>
        <sz val="9"/>
        <color rgb="FF6B5A40"/>
        <rFont val="Noto Sans CJK SC"/>
        <family val="2"/>
      </rPr>
      <t xml:space="preserve">세부직업 분화 </t>
    </r>
    <r>
      <rPr>
        <i val="true"/>
        <sz val="9"/>
        <color rgb="FF6B5A40"/>
        <rFont val="맑은 고딕"/>
        <family val="0"/>
        <charset val="1"/>
      </rPr>
      <t xml:space="preserve">· Lv1~100 · </t>
    </r>
    <r>
      <rPr>
        <i val="true"/>
        <sz val="9"/>
        <color rgb="FF6B5A40"/>
        <rFont val="Noto Sans CJK SC"/>
        <family val="2"/>
      </rPr>
      <t xml:space="preserve">빨강</t>
    </r>
    <r>
      <rPr>
        <i val="true"/>
        <sz val="9"/>
        <color rgb="FF6B5A40"/>
        <rFont val="맑은 고딕"/>
        <family val="0"/>
        <charset val="1"/>
      </rPr>
      <t xml:space="preserve">=30~40Lv </t>
    </r>
    <r>
      <rPr>
        <i val="true"/>
        <sz val="9"/>
        <color rgb="FF6B5A40"/>
        <rFont val="Noto Sans CJK SC"/>
        <family val="2"/>
      </rPr>
      <t xml:space="preserve">공속</t>
    </r>
    <r>
      <rPr>
        <i val="true"/>
        <sz val="9"/>
        <color rgb="FF6B5A40"/>
        <rFont val="맑은 고딕"/>
        <family val="0"/>
        <charset val="1"/>
      </rPr>
      <t xml:space="preserve">·</t>
    </r>
    <r>
      <rPr>
        <i val="true"/>
        <sz val="9"/>
        <color rgb="FF6B5A40"/>
        <rFont val="Noto Sans CJK SC"/>
        <family val="2"/>
      </rPr>
      <t xml:space="preserve">원소</t>
    </r>
    <r>
      <rPr>
        <i val="true"/>
        <sz val="9"/>
        <color rgb="FF6B5A40"/>
        <rFont val="맑은 고딕"/>
        <family val="0"/>
        <charset val="1"/>
      </rPr>
      <t xml:space="preserve">(</t>
    </r>
    <r>
      <rPr>
        <i val="true"/>
        <sz val="9"/>
        <color rgb="FF6B5A40"/>
        <rFont val="Noto Sans CJK SC"/>
        <family val="2"/>
      </rPr>
      <t xml:space="preserve">불화살</t>
    </r>
    <r>
      <rPr>
        <i val="true"/>
        <sz val="9"/>
        <color rgb="FF6B5A40"/>
        <rFont val="맑은 고딕"/>
        <family val="0"/>
        <charset val="1"/>
      </rPr>
      <t xml:space="preserve">) </t>
    </r>
    <r>
      <rPr>
        <i val="true"/>
        <sz val="9"/>
        <color rgb="FF6B5A40"/>
        <rFont val="Noto Sans CJK SC"/>
        <family val="2"/>
      </rPr>
      <t xml:space="preserve">추가</t>
    </r>
  </si>
  <si>
    <r>
      <rPr>
        <b val="true"/>
        <sz val="11"/>
        <color rgb="FFF4ECDD"/>
        <rFont val="Noto Sans CJK SC"/>
        <family val="2"/>
      </rPr>
      <t xml:space="preserve">◈ 활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장궁 </t>
    </r>
    <r>
      <rPr>
        <b val="true"/>
        <sz val="11"/>
        <color rgb="FFF4ECDD"/>
        <rFont val="맑은 고딕"/>
        <family val="0"/>
        <charset val="1"/>
      </rPr>
      <t xml:space="preserve">(Longbow)  —  </t>
    </r>
    <r>
      <rPr>
        <b val="true"/>
        <sz val="11"/>
        <color rgb="FFF4ECDD"/>
        <rFont val="Noto Sans CJK SC"/>
        <family val="2"/>
      </rPr>
      <t xml:space="preserve">저격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단일 고데미지 — 한 발의 묵직함</t>
    </r>
  </si>
  <si>
    <r>
      <rPr>
        <sz val="10"/>
        <color rgb="FF2E7D32"/>
        <rFont val="Noto Sans CJK SC"/>
        <family val="2"/>
      </rPr>
      <t xml:space="preserve">최상위 단일 사격 데미지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긴 사거리에서 안전하게 저격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방어무시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약점 특화</t>
    </r>
  </si>
  <si>
    <r>
      <rPr>
        <sz val="10"/>
        <color rgb="FFC0392B"/>
        <rFont val="Noto Sans CJK SC"/>
        <family val="2"/>
      </rPr>
      <t xml:space="preserve">느린 발사 속도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근접 취약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광역 처리 약함</t>
    </r>
  </si>
  <si>
    <t xml:space="preserve">조준 사격</t>
  </si>
  <si>
    <r>
      <rPr>
        <sz val="9"/>
        <color rgb="FF000000"/>
        <rFont val="Noto Sans CJK SC"/>
        <family val="2"/>
      </rPr>
      <t xml:space="preserve">단일 화살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집중 소량 생성</t>
    </r>
  </si>
  <si>
    <t xml:space="preserve">정조준</t>
  </si>
  <si>
    <r>
      <rPr>
        <sz val="9"/>
        <color rgb="FF000000"/>
        <rFont val="Noto Sans CJK SC"/>
        <family val="2"/>
      </rPr>
      <t xml:space="preserve">집중</t>
    </r>
    <r>
      <rPr>
        <sz val="9"/>
        <color rgb="FF000000"/>
        <rFont val="맑은 고딕"/>
        <family val="0"/>
        <charset val="1"/>
      </rPr>
      <t xml:space="preserve">15</t>
    </r>
  </si>
  <si>
    <t xml:space="preserve">짧은 충전 후 강력한 단발</t>
  </si>
  <si>
    <t xml:space="preserve">다중 사격</t>
  </si>
  <si>
    <r>
      <rPr>
        <sz val="9"/>
        <color rgb="FF000000"/>
        <rFont val="Noto Sans CJK SC"/>
        <family val="2"/>
      </rPr>
      <t xml:space="preserve">집중</t>
    </r>
    <r>
      <rPr>
        <sz val="9"/>
        <color rgb="FF000000"/>
        <rFont val="맑은 고딕"/>
        <family val="0"/>
        <charset val="1"/>
      </rPr>
      <t xml:space="preserve">20</t>
    </r>
  </si>
  <si>
    <r>
      <rPr>
        <sz val="9"/>
        <color rgb="FF000000"/>
        <rFont val="Noto Sans CJK SC"/>
        <family val="2"/>
      </rPr>
      <t xml:space="preserve">부채꼴 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발 동시 발사</t>
    </r>
  </si>
  <si>
    <t xml:space="preserve">약점 사격</t>
  </si>
  <si>
    <r>
      <rPr>
        <sz val="9"/>
        <color rgb="FF000000"/>
        <rFont val="Noto Sans CJK SC"/>
        <family val="2"/>
      </rPr>
      <t xml:space="preserve">방어도 </t>
    </r>
    <r>
      <rPr>
        <sz val="9"/>
        <color rgb="FF000000"/>
        <rFont val="맑은 고딕"/>
        <family val="0"/>
        <charset val="1"/>
      </rPr>
      <t xml:space="preserve">30% </t>
    </r>
    <r>
      <rPr>
        <sz val="9"/>
        <color rgb="FF000000"/>
        <rFont val="Noto Sans CJK SC"/>
        <family val="2"/>
      </rPr>
      <t xml:space="preserve">무시</t>
    </r>
  </si>
  <si>
    <t xml:space="preserve">후퇴 사격</t>
  </si>
  <si>
    <r>
      <rPr>
        <sz val="9"/>
        <color rgb="FF000000"/>
        <rFont val="Noto Sans CJK SC"/>
        <family val="2"/>
      </rPr>
      <t xml:space="preserve">뒤로 점프하며 사격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카이팅</t>
    </r>
    <r>
      <rPr>
        <sz val="9"/>
        <color rgb="FF000000"/>
        <rFont val="맑은 고딕"/>
        <family val="0"/>
        <charset val="1"/>
      </rPr>
      <t xml:space="preserve">)</t>
    </r>
  </si>
  <si>
    <t xml:space="preserve">화염 화살</t>
  </si>
  <si>
    <r>
      <rPr>
        <sz val="9"/>
        <color rgb="FF000000"/>
        <rFont val="Noto Sans CJK SC"/>
        <family val="2"/>
      </rPr>
      <t xml:space="preserve">화살에 화염 부여 </t>
    </r>
    <r>
      <rPr>
        <sz val="9"/>
        <color rgb="FF000000"/>
        <rFont val="맑은 고딕"/>
        <family val="0"/>
        <charset val="1"/>
      </rPr>
      <t xml:space="preserve">+ 4</t>
    </r>
    <r>
      <rPr>
        <sz val="9"/>
        <color rgb="FF000000"/>
        <rFont val="Noto Sans CJK SC"/>
        <family val="2"/>
      </rPr>
      <t xml:space="preserve">초 화상 </t>
    </r>
    <r>
      <rPr>
        <sz val="9"/>
        <color rgb="FF000000"/>
        <rFont val="맑은 고딕"/>
        <family val="0"/>
        <charset val="1"/>
      </rPr>
      <t xml:space="preserve">DoT (</t>
    </r>
    <r>
      <rPr>
        <sz val="9"/>
        <color rgb="FF000000"/>
        <rFont val="Noto Sans CJK SC"/>
        <family val="2"/>
      </rPr>
      <t xml:space="preserve">원소 추가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</si>
  <si>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관통 저격</t>
  </si>
  <si>
    <r>
      <rPr>
        <sz val="9"/>
        <color rgb="FF000000"/>
        <rFont val="Noto Sans CJK SC"/>
        <family val="2"/>
      </rPr>
      <t xml:space="preserve">집중</t>
    </r>
    <r>
      <rPr>
        <sz val="9"/>
        <color rgb="FF000000"/>
        <rFont val="맑은 고딕"/>
        <family val="0"/>
        <charset val="1"/>
      </rPr>
      <t xml:space="preserve">25</t>
    </r>
  </si>
  <si>
    <t xml:space="preserve">직선 관통 초강력 단발</t>
  </si>
  <si>
    <r>
      <rPr>
        <b val="true"/>
        <sz val="10"/>
        <color rgb="FFC8A24B"/>
        <rFont val="Noto Sans CJK SC"/>
        <family val="2"/>
      </rPr>
      <t xml:space="preserve">명사수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</si>
  <si>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원거리 치명타 확률</t>
    </r>
    <r>
      <rPr>
        <sz val="9"/>
        <color rgb="FF000000"/>
        <rFont val="맑은 고딕"/>
        <family val="0"/>
        <charset val="1"/>
      </rPr>
      <t xml:space="preserve">+10%, </t>
    </r>
    <r>
      <rPr>
        <sz val="9"/>
        <color rgb="FF000000"/>
        <rFont val="Noto Sans CJK SC"/>
        <family val="2"/>
      </rPr>
      <t xml:space="preserve">치명타 피해</t>
    </r>
    <r>
      <rPr>
        <sz val="9"/>
        <color rgb="FF000000"/>
        <rFont val="맑은 고딕"/>
        <family val="0"/>
        <charset val="1"/>
      </rPr>
      <t xml:space="preserve">+40%</t>
    </r>
  </si>
  <si>
    <t xml:space="preserve">폭우 사격</t>
  </si>
  <si>
    <r>
      <rPr>
        <sz val="9"/>
        <color rgb="FF000000"/>
        <rFont val="Noto Sans CJK SC"/>
        <family val="2"/>
      </rPr>
      <t xml:space="preserve">집중</t>
    </r>
    <r>
      <rPr>
        <sz val="9"/>
        <color rgb="FF000000"/>
        <rFont val="맑은 고딕"/>
        <family val="0"/>
        <charset val="1"/>
      </rPr>
      <t xml:space="preserve">30</t>
    </r>
  </si>
  <si>
    <t xml:space="preserve">지정 범위에 화살비 광역 낙하</t>
  </si>
  <si>
    <t xml:space="preserve">일점사</t>
  </si>
  <si>
    <r>
      <rPr>
        <sz val="9"/>
        <color rgb="FF000000"/>
        <rFont val="Noto Sans CJK SC"/>
        <family val="2"/>
      </rPr>
      <t xml:space="preserve">집중</t>
    </r>
    <r>
      <rPr>
        <sz val="9"/>
        <color rgb="FF000000"/>
        <rFont val="맑은 고딕"/>
        <family val="0"/>
        <charset val="1"/>
      </rPr>
      <t xml:space="preserve">35</t>
    </r>
  </si>
  <si>
    <t xml:space="preserve">최대 충전 단일 초고뎀</t>
  </si>
  <si>
    <r>
      <rPr>
        <b val="true"/>
        <sz val="10"/>
        <color rgb="FFC8A24B"/>
        <rFont val="Noto Sans CJK SC"/>
        <family val="2"/>
      </rPr>
      <t xml:space="preserve">매의 눈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</si>
  <si>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사거리</t>
    </r>
    <r>
      <rPr>
        <sz val="9"/>
        <color rgb="FF000000"/>
        <rFont val="맑은 고딕"/>
        <family val="0"/>
        <charset val="1"/>
      </rPr>
      <t xml:space="preserve">+25%, </t>
    </r>
    <r>
      <rPr>
        <sz val="9"/>
        <color rgb="FF000000"/>
        <rFont val="Noto Sans CJK SC"/>
        <family val="2"/>
      </rPr>
      <t xml:space="preserve">멀수록 데미지 최대</t>
    </r>
    <r>
      <rPr>
        <sz val="9"/>
        <color rgb="FF000000"/>
        <rFont val="맑은 고딕"/>
        <family val="0"/>
        <charset val="1"/>
      </rPr>
      <t xml:space="preserve">+30%</t>
    </r>
  </si>
  <si>
    <t xml:space="preserve">신의 화살</t>
  </si>
  <si>
    <t xml:space="preserve">맵 관통 초고데미지 단발</t>
  </si>
  <si>
    <r>
      <rPr>
        <b val="true"/>
        <sz val="11"/>
        <color rgb="FFF4ECDD"/>
        <rFont val="Noto Sans CJK SC"/>
        <family val="2"/>
      </rPr>
      <t xml:space="preserve">◈ 쇠뇌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석궁 </t>
    </r>
    <r>
      <rPr>
        <b val="true"/>
        <sz val="11"/>
        <color rgb="FFF4ECDD"/>
        <rFont val="맑은 고딕"/>
        <family val="0"/>
        <charset val="1"/>
      </rPr>
      <t xml:space="preserve">(Crossbow)  —  </t>
    </r>
    <r>
      <rPr>
        <b val="true"/>
        <sz val="11"/>
        <color rgb="FFF4ECDD"/>
        <rFont val="Noto Sans CJK SC"/>
        <family val="2"/>
      </rPr>
      <t xml:space="preserve">관통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연사 — 높은 기본 데미지의 화력</t>
    </r>
  </si>
  <si>
    <r>
      <rPr>
        <sz val="10"/>
        <color rgb="FF2E7D32"/>
        <rFont val="Noto Sans CJK SC"/>
        <family val="2"/>
      </rPr>
      <t xml:space="preserve">높은 발당 기본 데미지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관통으로 일렬 다수 처리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안정적 광역</t>
    </r>
    <r>
      <rPr>
        <sz val="10"/>
        <color rgb="FF2E7D32"/>
        <rFont val="맑은 고딕"/>
        <family val="0"/>
        <charset val="1"/>
      </rPr>
      <t xml:space="preserve">+</t>
    </r>
    <r>
      <rPr>
        <sz val="10"/>
        <color rgb="FF2E7D32"/>
        <rFont val="Noto Sans CJK SC"/>
        <family val="2"/>
      </rPr>
      <t xml:space="preserve">단일 균형</t>
    </r>
  </si>
  <si>
    <r>
      <rPr>
        <sz val="10"/>
        <color rgb="FFC0392B"/>
        <rFont val="Noto Sans CJK SC"/>
        <family val="2"/>
      </rPr>
      <t xml:space="preserve">낮은 기동성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재장전 텀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빠른 적 추적이 어려움</t>
    </r>
  </si>
  <si>
    <t xml:space="preserve">볼트 사격</t>
  </si>
  <si>
    <r>
      <rPr>
        <sz val="9"/>
        <color rgb="FF000000"/>
        <rFont val="Noto Sans CJK SC"/>
        <family val="2"/>
      </rPr>
      <t xml:space="preserve">강한 단발 볼트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느림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</si>
  <si>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연속 장전</t>
  </si>
  <si>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연사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총 </t>
    </r>
    <r>
      <rPr>
        <sz val="9"/>
        <color rgb="FF000000"/>
        <rFont val="맑은 고딕"/>
        <family val="0"/>
        <charset val="1"/>
      </rPr>
      <t xml:space="preserve">2.0</t>
    </r>
    <r>
      <rPr>
        <sz val="9"/>
        <color rgb="FF000000"/>
        <rFont val="Noto Sans CJK SC"/>
        <family val="2"/>
      </rPr>
      <t xml:space="preserve">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</si>
  <si>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관통 볼트</t>
  </si>
  <si>
    <t xml:space="preserve">직선 관통 일렬 타격</t>
  </si>
  <si>
    <t xml:space="preserve">고정 사격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</si>
  <si>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</si>
  <si>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Noto Sans CJK SC"/>
        <family val="2"/>
      </rPr>
      <t xml:space="preserve">정지 시 데미지</t>
    </r>
    <r>
      <rPr>
        <sz val="9"/>
        <color rgb="FF000000"/>
        <rFont val="맑은 고딕"/>
        <family val="0"/>
        <charset val="1"/>
      </rPr>
      <t xml:space="preserve">+25% </t>
    </r>
    <r>
      <rPr>
        <sz val="9"/>
        <color rgb="FF000000"/>
        <rFont val="Noto Sans CJK SC"/>
        <family val="2"/>
      </rPr>
      <t xml:space="preserve">자세</t>
    </r>
  </si>
  <si>
    <t xml:space="preserve">폭발 볼트</t>
  </si>
  <si>
    <t xml:space="preserve">착탄 지점 스플래시 폭발</t>
  </si>
  <si>
    <t xml:space="preserve">화염 볼트</t>
  </si>
  <si>
    <r>
      <rPr>
        <sz val="9"/>
        <color rgb="FF000000"/>
        <rFont val="Noto Sans CJK SC"/>
        <family val="2"/>
      </rPr>
      <t xml:space="preserve">착탄 화염 폭발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화상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원소 추가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</si>
  <si>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기관 연사</t>
  </si>
  <si>
    <r>
      <rPr>
        <sz val="9"/>
        <color rgb="FF000000"/>
        <rFont val="맑은 고딕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연속 자동 사격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총 </t>
    </r>
    <r>
      <rPr>
        <sz val="9"/>
        <color rgb="FF000000"/>
        <rFont val="맑은 고딕"/>
        <family val="0"/>
        <charset val="1"/>
      </rPr>
      <t xml:space="preserve">3.6</t>
    </r>
    <r>
      <rPr>
        <sz val="9"/>
        <color rgb="FF000000"/>
        <rFont val="Noto Sans CJK SC"/>
        <family val="2"/>
      </rPr>
      <t xml:space="preserve">배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</si>
  <si>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8A24B"/>
        <rFont val="Noto Sans CJK SC"/>
        <family val="2"/>
      </rPr>
      <t xml:space="preserve">중장 볼트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</si>
  <si>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관통 대상 수</t>
    </r>
    <r>
      <rPr>
        <sz val="9"/>
        <color rgb="FF000000"/>
        <rFont val="맑은 고딕"/>
        <family val="0"/>
        <charset val="1"/>
      </rPr>
      <t xml:space="preserve">+2, </t>
    </r>
    <r>
      <rPr>
        <sz val="9"/>
        <color rgb="FF000000"/>
        <rFont val="Noto Sans CJK SC"/>
        <family val="2"/>
      </rPr>
      <t xml:space="preserve">기본 데미지</t>
    </r>
    <r>
      <rPr>
        <sz val="9"/>
        <color rgb="FF000000"/>
        <rFont val="맑은 고딕"/>
        <family val="0"/>
        <charset val="1"/>
      </rPr>
      <t xml:space="preserve">+15%</t>
    </r>
  </si>
  <si>
    <t xml:space="preserve">작렬 볼트</t>
  </si>
  <si>
    <t xml:space="preserve">대상 주변 광역 폭발</t>
  </si>
  <si>
    <t xml:space="preserve">강철비</t>
  </si>
  <si>
    <r>
      <rPr>
        <sz val="9"/>
        <color rgb="FF000000"/>
        <rFont val="Noto Sans CJK SC"/>
        <family val="2"/>
      </rPr>
      <t xml:space="preserve">집중</t>
    </r>
    <r>
      <rPr>
        <sz val="9"/>
        <color rgb="FF000000"/>
        <rFont val="맑은 고딕"/>
        <family val="0"/>
        <charset val="1"/>
      </rPr>
      <t xml:space="preserve">40</t>
    </r>
  </si>
  <si>
    <r>
      <rPr>
        <sz val="9"/>
        <color rgb="FF000000"/>
        <rFont val="Noto Sans CJK SC"/>
        <family val="2"/>
      </rPr>
      <t xml:space="preserve">채널링 지속 연사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다단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</si>
  <si>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8A24B"/>
        <rFont val="Noto Sans CJK SC"/>
        <family val="2"/>
      </rPr>
      <t xml:space="preserve">철갑 관통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</si>
  <si>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방어도 </t>
    </r>
    <r>
      <rPr>
        <sz val="9"/>
        <color rgb="FF000000"/>
        <rFont val="맑은 고딕"/>
        <family val="0"/>
        <charset val="1"/>
      </rPr>
      <t xml:space="preserve">25% </t>
    </r>
    <r>
      <rPr>
        <sz val="9"/>
        <color rgb="FF000000"/>
        <rFont val="Noto Sans CJK SC"/>
        <family val="2"/>
      </rPr>
      <t xml:space="preserve">무시</t>
    </r>
  </si>
  <si>
    <t xml:space="preserve">발리스타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</si>
  <si>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130</t>
    </r>
    <r>
      <rPr>
        <sz val="9"/>
        <color rgb="FF000000"/>
        <rFont val="Noto Sans CJK SC"/>
        <family val="2"/>
      </rPr>
      <t xml:space="preserve">초</t>
    </r>
  </si>
  <si>
    <t xml:space="preserve">초대형 관통 폭발 볼트</t>
  </si>
  <si>
    <r>
      <rPr>
        <b val="true"/>
        <sz val="11"/>
        <color rgb="FFF4ECDD"/>
        <rFont val="Noto Sans CJK SC"/>
        <family val="2"/>
      </rPr>
      <t xml:space="preserve">◈ 마법궁수 </t>
    </r>
    <r>
      <rPr>
        <b val="true"/>
        <sz val="11"/>
        <color rgb="FFF4ECDD"/>
        <rFont val="맑은 고딕"/>
        <family val="0"/>
        <charset val="1"/>
      </rPr>
      <t xml:space="preserve">(Magic Archer)  —  </t>
    </r>
    <r>
      <rPr>
        <b val="true"/>
        <sz val="11"/>
        <color rgb="FFF4ECDD"/>
        <rFont val="Noto Sans CJK SC"/>
        <family val="2"/>
      </rPr>
      <t xml:space="preserve">원소 화살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부가효과 — 화살에 마법을 싣다</t>
    </r>
  </si>
  <si>
    <r>
      <rPr>
        <sz val="10"/>
        <color rgb="FF2E7D32"/>
        <rFont val="Noto Sans CJK SC"/>
        <family val="2"/>
      </rPr>
      <t xml:space="preserve">원소별 부가효과</t>
    </r>
    <r>
      <rPr>
        <sz val="10"/>
        <color rgb="FF2E7D32"/>
        <rFont val="맑은 고딕"/>
        <family val="0"/>
        <charset val="1"/>
      </rPr>
      <t xml:space="preserve">(</t>
    </r>
    <r>
      <rPr>
        <sz val="10"/>
        <color rgb="FF2E7D32"/>
        <rFont val="Noto Sans CJK SC"/>
        <family val="2"/>
      </rPr>
      <t xml:space="preserve">둔화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화상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연쇄</t>
    </r>
    <r>
      <rPr>
        <sz val="10"/>
        <color rgb="FF2E7D32"/>
        <rFont val="맑은 고딕"/>
        <family val="0"/>
        <charset val="1"/>
      </rPr>
      <t xml:space="preserve">)</t>
    </r>
    <r>
      <rPr>
        <sz val="10"/>
        <color rgb="FF2E7D32"/>
        <rFont val="Noto Sans CJK SC"/>
        <family val="2"/>
      </rPr>
      <t xml:space="preserve">로 다양성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디버프 부여로 파티 기여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다원소 확장 강력</t>
    </r>
  </si>
  <si>
    <r>
      <rPr>
        <sz val="10"/>
        <color rgb="FFC0392B"/>
        <rFont val="Noto Sans CJK SC"/>
        <family val="2"/>
      </rPr>
      <t xml:space="preserve">마나 자원 관리 필요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순수 단일 데미지는 활</t>
    </r>
    <r>
      <rPr>
        <sz val="10"/>
        <color rgb="FFC0392B"/>
        <rFont val="맑은 고딕"/>
        <family val="0"/>
        <charset val="1"/>
      </rPr>
      <t xml:space="preserve">/</t>
    </r>
    <r>
      <rPr>
        <sz val="10"/>
        <color rgb="FFC0392B"/>
        <rFont val="Noto Sans CJK SC"/>
        <family val="2"/>
      </rPr>
      <t xml:space="preserve">쇠뇌보다 낮음</t>
    </r>
  </si>
  <si>
    <t xml:space="preserve">마력 화살</t>
  </si>
  <si>
    <r>
      <rPr>
        <sz val="9"/>
        <color rgb="FF000000"/>
        <rFont val="Noto Sans CJK SC"/>
        <family val="2"/>
      </rPr>
      <t xml:space="preserve">마나 화살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마나 소량 회복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</si>
  <si>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냉기 화살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</si>
  <si>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10</t>
    </r>
  </si>
  <si>
    <r>
      <rPr>
        <sz val="9"/>
        <color rgb="FF000000"/>
        <rFont val="Noto Sans CJK SC"/>
        <family val="2"/>
      </rPr>
      <t xml:space="preserve">적중 시 </t>
    </r>
    <r>
      <rPr>
        <sz val="9"/>
        <color rgb="FF000000"/>
        <rFont val="맑은 고딕"/>
        <family val="0"/>
        <charset val="1"/>
      </rPr>
      <t xml:space="preserve">30% </t>
    </r>
    <r>
      <rPr>
        <sz val="9"/>
        <color rgb="FF000000"/>
        <rFont val="Noto Sans CJK SC"/>
        <family val="2"/>
      </rPr>
      <t xml:space="preserve">둔화</t>
    </r>
  </si>
  <si>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초 화상 </t>
    </r>
    <r>
      <rPr>
        <sz val="9"/>
        <color rgb="FF000000"/>
        <rFont val="맑은 고딕"/>
        <family val="0"/>
        <charset val="1"/>
      </rPr>
      <t xml:space="preserve">DoT</t>
    </r>
  </si>
  <si>
    <t xml:space="preserve">전격 화살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</si>
  <si>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15</t>
    </r>
  </si>
  <si>
    <r>
      <rPr>
        <sz val="9"/>
        <color rgb="FF000000"/>
        <rFont val="Noto Sans CJK SC"/>
        <family val="2"/>
      </rPr>
      <t xml:space="preserve">인접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체로 연쇄</t>
    </r>
  </si>
  <si>
    <t xml:space="preserve">원소 폭발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</si>
  <si>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20</t>
    </r>
  </si>
  <si>
    <t xml:space="preserve">착탄 원소 광역 폭발</t>
  </si>
  <si>
    <t xml:space="preserve">다원소 사격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</si>
  <si>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25</t>
    </r>
  </si>
  <si>
    <r>
      <rPr>
        <sz val="9"/>
        <color rgb="FF000000"/>
        <rFont val="Noto Sans CJK SC"/>
        <family val="2"/>
      </rPr>
      <t xml:space="preserve">화염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냉기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전격 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발 동시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원소 확장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</si>
  <si>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마나 화살비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</si>
  <si>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30</t>
    </r>
  </si>
  <si>
    <t xml:space="preserve">지정 범위 지속 화살비</t>
  </si>
  <si>
    <r>
      <rPr>
        <b val="true"/>
        <sz val="10"/>
        <color rgb="FFC8A24B"/>
        <rFont val="Noto Sans CJK SC"/>
        <family val="2"/>
      </rPr>
      <t xml:space="preserve">원소 친화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</si>
  <si>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원소 데미지</t>
    </r>
    <r>
      <rPr>
        <sz val="9"/>
        <color rgb="FF000000"/>
        <rFont val="맑은 고딕"/>
        <family val="0"/>
        <charset val="1"/>
      </rPr>
      <t xml:space="preserve">+20%, </t>
    </r>
    <r>
      <rPr>
        <sz val="9"/>
        <color rgb="FF000000"/>
        <rFont val="Noto Sans CJK SC"/>
        <family val="2"/>
      </rPr>
      <t xml:space="preserve">마나 소모</t>
    </r>
    <r>
      <rPr>
        <sz val="9"/>
        <color rgb="FF000000"/>
        <rFont val="맑은 고딕"/>
        <family val="0"/>
        <charset val="1"/>
      </rPr>
      <t xml:space="preserve">-15%</t>
    </r>
  </si>
  <si>
    <t xml:space="preserve">원소 각인</t>
  </si>
  <si>
    <t xml:space="preserve">디버프</t>
  </si>
  <si>
    <r>
      <rPr>
        <sz val="9"/>
        <color rgb="FF000000"/>
        <rFont val="Noto Sans CJK SC"/>
        <family val="2"/>
      </rPr>
      <t xml:space="preserve">대상 받는 원소피해</t>
    </r>
    <r>
      <rPr>
        <sz val="9"/>
        <color rgb="FF000000"/>
        <rFont val="맑은 고딕"/>
        <family val="0"/>
        <charset val="1"/>
      </rPr>
      <t xml:space="preserve">+15%(</t>
    </r>
    <r>
      <rPr>
        <sz val="9"/>
        <color rgb="FF000000"/>
        <rFont val="Noto Sans CJK SC"/>
        <family val="2"/>
      </rPr>
      <t xml:space="preserve">중첩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</si>
  <si>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정령 화살</t>
  </si>
  <si>
    <r>
      <rPr>
        <sz val="9"/>
        <color rgb="FF000000"/>
        <rFont val="Noto Sans CJK SC"/>
        <family val="2"/>
      </rPr>
      <t xml:space="preserve">추적 유도탄 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발</t>
    </r>
  </si>
  <si>
    <r>
      <rPr>
        <b val="true"/>
        <sz val="10"/>
        <color rgb="FFC8A24B"/>
        <rFont val="Noto Sans CJK SC"/>
        <family val="2"/>
      </rPr>
      <t xml:space="preserve">비전 결속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</si>
  <si>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적중 시 마나 회복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지속 시전 가능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</si>
  <si>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원소 진노</t>
  </si>
  <si>
    <t xml:space="preserve">전 원소 대광역 폭격</t>
  </si>
  <si>
    <r>
      <rPr>
        <b val="true"/>
        <sz val="11"/>
        <color rgb="FFF4ECDD"/>
        <rFont val="Noto Sans CJK SC"/>
        <family val="2"/>
      </rPr>
      <t xml:space="preserve">◈ 속사궁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단궁 </t>
    </r>
    <r>
      <rPr>
        <b val="true"/>
        <sz val="11"/>
        <color rgb="FFF4ECDD"/>
        <rFont val="맑은 고딕"/>
        <family val="0"/>
        <charset val="1"/>
      </rPr>
      <t xml:space="preserve">(Shortbow)  —  </t>
    </r>
    <r>
      <rPr>
        <b val="true"/>
        <sz val="11"/>
        <color rgb="FFF4ECDD"/>
        <rFont val="Noto Sans CJK SC"/>
        <family val="2"/>
      </rPr>
      <t xml:space="preserve">초고속 연사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기동 — 쏟아붓는 화살비</t>
    </r>
  </si>
  <si>
    <r>
      <rPr>
        <sz val="10"/>
        <color rgb="FF2E7D32"/>
        <rFont val="Noto Sans CJK SC"/>
        <family val="2"/>
      </rPr>
      <t xml:space="preserve">최고 공격속도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다단 누적 딜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기동성 최상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회피하며 지속 딜링</t>
    </r>
  </si>
  <si>
    <r>
      <rPr>
        <sz val="10"/>
        <color rgb="FFC0392B"/>
        <rFont val="Noto Sans CJK SC"/>
        <family val="2"/>
      </rPr>
      <t xml:space="preserve">발당 데미지 매우 낮음</t>
    </r>
    <r>
      <rPr>
        <sz val="10"/>
        <color rgb="FFC0392B"/>
        <rFont val="맑은 고딕"/>
        <family val="0"/>
        <charset val="1"/>
      </rPr>
      <t xml:space="preserve">(</t>
    </r>
    <r>
      <rPr>
        <sz val="10"/>
        <color rgb="FFC0392B"/>
        <rFont val="Noto Sans CJK SC"/>
        <family val="2"/>
      </rPr>
      <t xml:space="preserve">누적 의존</t>
    </r>
    <r>
      <rPr>
        <sz val="10"/>
        <color rgb="FFC0392B"/>
        <rFont val="맑은 고딕"/>
        <family val="0"/>
        <charset val="1"/>
      </rPr>
      <t xml:space="preserve">), </t>
    </r>
    <r>
      <rPr>
        <sz val="10"/>
        <color rgb="FFC0392B"/>
        <rFont val="Noto Sans CJK SC"/>
        <family val="2"/>
      </rPr>
      <t xml:space="preserve">낮은 사거리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한 방 화력 부족</t>
    </r>
  </si>
  <si>
    <t xml:space="preserve">속사</t>
  </si>
  <si>
    <t xml:space="preserve">매우 빠른 단발</t>
  </si>
  <si>
    <t xml:space="preserve">이중 사격</t>
  </si>
  <si>
    <r>
      <rPr>
        <sz val="9"/>
        <color rgb="FF000000"/>
        <rFont val="Noto Sans CJK SC"/>
        <family val="2"/>
      </rPr>
      <t xml:space="preserve">집중</t>
    </r>
    <r>
      <rPr>
        <sz val="9"/>
        <color rgb="FF000000"/>
        <rFont val="맑은 고딕"/>
        <family val="0"/>
        <charset val="1"/>
      </rPr>
      <t xml:space="preserve">10</t>
    </r>
  </si>
  <si>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연사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총 </t>
    </r>
    <r>
      <rPr>
        <sz val="9"/>
        <color rgb="FF000000"/>
        <rFont val="맑은 고딕"/>
        <family val="0"/>
        <charset val="1"/>
      </rPr>
      <t xml:space="preserve">1.4</t>
    </r>
    <r>
      <rPr>
        <sz val="9"/>
        <color rgb="FF000000"/>
        <rFont val="Noto Sans CJK SC"/>
        <family val="2"/>
      </rPr>
      <t xml:space="preserve">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</si>
  <si>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구르기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</si>
  <si>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초</t>
    </r>
  </si>
  <si>
    <t xml:space="preserve">빠른 회피 이동</t>
  </si>
  <si>
    <t xml:space="preserve">난사</t>
  </si>
  <si>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연속 고속 사격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총 </t>
    </r>
    <r>
      <rPr>
        <sz val="9"/>
        <color rgb="FF000000"/>
        <rFont val="맑은 고딕"/>
        <family val="0"/>
        <charset val="1"/>
      </rPr>
      <t xml:space="preserve">4.0</t>
    </r>
    <r>
      <rPr>
        <sz val="9"/>
        <color rgb="FF000000"/>
        <rFont val="Noto Sans CJK SC"/>
        <family val="2"/>
      </rPr>
      <t xml:space="preserve">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</si>
  <si>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도약 사격</t>
  </si>
  <si>
    <t xml:space="preserve">점프 후 착지 지점 광역</t>
  </si>
  <si>
    <t xml:space="preserve">광폭 난사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</si>
  <si>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18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</si>
  <si>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초간 공격속도</t>
    </r>
    <r>
      <rPr>
        <sz val="9"/>
        <color rgb="FF000000"/>
        <rFont val="맑은 고딕"/>
        <family val="0"/>
        <charset val="1"/>
      </rPr>
      <t xml:space="preserve">+50% (</t>
    </r>
    <r>
      <rPr>
        <sz val="9"/>
        <color rgb="FF000000"/>
        <rFont val="Noto Sans CJK SC"/>
        <family val="2"/>
      </rPr>
      <t xml:space="preserve">공속 강화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</si>
  <si>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산탄</t>
  </si>
  <si>
    <t xml:space="preserve">근거리 부채꼴 고밀도 사격</t>
  </si>
  <si>
    <r>
      <rPr>
        <b val="true"/>
        <sz val="10"/>
        <color rgb="FFC8A24B"/>
        <rFont val="Noto Sans CJK SC"/>
        <family val="2"/>
      </rPr>
      <t xml:space="preserve">쾌속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</si>
  <si>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공속 상한</t>
    </r>
    <r>
      <rPr>
        <sz val="9"/>
        <color rgb="FF000000"/>
        <rFont val="맑은 고딕"/>
        <family val="0"/>
        <charset val="1"/>
      </rPr>
      <t xml:space="preserve">+30%, </t>
    </r>
    <r>
      <rPr>
        <sz val="9"/>
        <color rgb="FF000000"/>
        <rFont val="Noto Sans CJK SC"/>
        <family val="2"/>
      </rPr>
      <t xml:space="preserve">이동 중 사격 가능</t>
    </r>
  </si>
  <si>
    <t xml:space="preserve">그림자 스텝</t>
  </si>
  <si>
    <t xml:space="preserve">순간이동 후 연사</t>
  </si>
  <si>
    <t xml:space="preserve">폭풍 화살</t>
  </si>
  <si>
    <t xml:space="preserve">주변 회전 연사 광역</t>
  </si>
  <si>
    <r>
      <rPr>
        <b val="true"/>
        <sz val="10"/>
        <color rgb="FFC8A24B"/>
        <rFont val="Noto Sans CJK SC"/>
        <family val="2"/>
      </rPr>
      <t xml:space="preserve">가속 본능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</si>
  <si>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연속 명중 시 공속 중첩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최대</t>
    </r>
    <r>
      <rPr>
        <sz val="9"/>
        <color rgb="FF000000"/>
        <rFont val="맑은 고딕"/>
        <family val="0"/>
        <charset val="1"/>
      </rPr>
      <t xml:space="preserve">+25%)</t>
    </r>
  </si>
  <si>
    <t xml:space="preserve">천 발의 화살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</si>
  <si>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110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</si>
  <si>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Noto Sans CJK SC"/>
        <family val="2"/>
      </rPr>
      <t xml:space="preserve">초고속 전방위 난사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대다단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</si>
  <si>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F4ECDD"/>
        <rFont val="Noto Sans CJK SC"/>
        <family val="2"/>
      </rPr>
      <t xml:space="preserve">◈ 함정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조련 </t>
    </r>
    <r>
      <rPr>
        <b val="true"/>
        <sz val="11"/>
        <color rgb="FFF4ECDD"/>
        <rFont val="맑은 고딕"/>
        <family val="0"/>
        <charset val="1"/>
      </rPr>
      <t xml:space="preserve">(Trapper)  —  </t>
    </r>
    <r>
      <rPr>
        <b val="true"/>
        <sz val="11"/>
        <color rgb="FFF4ECDD"/>
        <rFont val="Noto Sans CJK SC"/>
        <family val="2"/>
      </rPr>
      <t xml:space="preserve">설치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소환 — 전장을 지배하는 사냥꾼</t>
    </r>
  </si>
  <si>
    <r>
      <rPr>
        <sz val="10"/>
        <color rgb="FF2E7D32"/>
        <rFont val="Noto Sans CJK SC"/>
        <family val="2"/>
      </rPr>
      <t xml:space="preserve">함정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소환수로 광역 제어 최강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안전한 셋업 딜링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다대다 전투 우위</t>
    </r>
  </si>
  <si>
    <r>
      <rPr>
        <sz val="10"/>
        <color rgb="FFC0392B"/>
        <rFont val="Noto Sans CJK SC"/>
        <family val="2"/>
      </rPr>
      <t xml:space="preserve">셋업 시간 필요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즉발 화력 약함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기습</t>
    </r>
    <r>
      <rPr>
        <sz val="10"/>
        <color rgb="FFC0392B"/>
        <rFont val="맑은 고딕"/>
        <family val="0"/>
        <charset val="1"/>
      </rPr>
      <t xml:space="preserve">·</t>
    </r>
    <r>
      <rPr>
        <sz val="10"/>
        <color rgb="FFC0392B"/>
        <rFont val="Noto Sans CJK SC"/>
        <family val="2"/>
      </rPr>
      <t xml:space="preserve">이동 보스에 취약</t>
    </r>
  </si>
  <si>
    <t xml:space="preserve">사격</t>
  </si>
  <si>
    <t xml:space="preserve">기본 단발 화살</t>
  </si>
  <si>
    <t xml:space="preserve">가시 함정</t>
  </si>
  <si>
    <r>
      <rPr>
        <sz val="9"/>
        <color rgb="FF000000"/>
        <rFont val="Noto Sans CJK SC"/>
        <family val="2"/>
      </rPr>
      <t xml:space="preserve">설치형 </t>
    </r>
    <r>
      <rPr>
        <sz val="9"/>
        <color rgb="FF000000"/>
        <rFont val="맑은 고딕"/>
        <family val="0"/>
        <charset val="1"/>
      </rPr>
      <t xml:space="preserve">DoT </t>
    </r>
    <r>
      <rPr>
        <sz val="9"/>
        <color rgb="FF000000"/>
        <rFont val="Noto Sans CJK SC"/>
        <family val="2"/>
      </rPr>
      <t xml:space="preserve">함정</t>
    </r>
  </si>
  <si>
    <t xml:space="preserve">매 소환</t>
  </si>
  <si>
    <t xml:space="preserve">소환</t>
  </si>
  <si>
    <r>
      <rPr>
        <sz val="9"/>
        <color rgb="FF000000"/>
        <rFont val="Noto Sans CJK SC"/>
        <family val="2"/>
      </rPr>
      <t xml:space="preserve">매 소환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자동 추적 공격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</si>
  <si>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곰덫</t>
  </si>
  <si>
    <r>
      <rPr>
        <sz val="9"/>
        <color rgb="FF000000"/>
        <rFont val="Noto Sans CJK SC"/>
        <family val="2"/>
      </rPr>
      <t xml:space="preserve">밟으면 포획 </t>
    </r>
    <r>
      <rPr>
        <sz val="9"/>
        <color rgb="FF000000"/>
        <rFont val="맑은 고딕"/>
        <family val="0"/>
        <charset val="1"/>
      </rPr>
      <t xml:space="preserve">+ 3</t>
    </r>
    <r>
      <rPr>
        <sz val="9"/>
        <color rgb="FF000000"/>
        <rFont val="Noto Sans CJK SC"/>
        <family val="2"/>
      </rPr>
      <t xml:space="preserve">초 속박</t>
    </r>
  </si>
  <si>
    <t xml:space="preserve">폭발 함정</t>
  </si>
  <si>
    <t xml:space="preserve">착발 광역 폭발</t>
  </si>
  <si>
    <t xml:space="preserve">화염 함정</t>
  </si>
  <si>
    <r>
      <rPr>
        <sz val="9"/>
        <color rgb="FF000000"/>
        <rFont val="Noto Sans CJK SC"/>
        <family val="2"/>
      </rPr>
      <t xml:space="preserve">지속 화염 장판 설치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원소 추가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</si>
  <si>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늑대 소환</t>
  </si>
  <si>
    <r>
      <rPr>
        <sz val="9"/>
        <color rgb="FF000000"/>
        <rFont val="Noto Sans CJK SC"/>
        <family val="2"/>
      </rPr>
      <t xml:space="preserve">근접 늑대 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기 소환</t>
    </r>
  </si>
  <si>
    <r>
      <rPr>
        <b val="true"/>
        <sz val="10"/>
        <color rgb="FFC8A24B"/>
        <rFont val="Noto Sans CJK SC"/>
        <family val="2"/>
      </rPr>
      <t xml:space="preserve">조련사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</si>
  <si>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소환수 데미지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체력</t>
    </r>
    <r>
      <rPr>
        <sz val="9"/>
        <color rgb="FF000000"/>
        <rFont val="맑은 고딕"/>
        <family val="0"/>
        <charset val="1"/>
      </rPr>
      <t xml:space="preserve">+50%</t>
    </r>
  </si>
  <si>
    <t xml:space="preserve">빙결 함정</t>
  </si>
  <si>
    <t xml:space="preserve">광역 빙결 함정</t>
  </si>
  <si>
    <t xml:space="preserve">맹수의 부름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</si>
  <si>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45</t>
    </r>
    <r>
      <rPr>
        <sz val="9"/>
        <color rgb="FF000000"/>
        <rFont val="Noto Sans CJK SC"/>
        <family val="2"/>
      </rPr>
      <t xml:space="preserve">초</t>
    </r>
  </si>
  <si>
    <t xml:space="preserve">다수 야수 일시 소환 돌격</t>
  </si>
  <si>
    <r>
      <rPr>
        <b val="true"/>
        <sz val="10"/>
        <color rgb="FFC8A24B"/>
        <rFont val="Noto Sans CJK SC"/>
        <family val="2"/>
      </rPr>
      <t xml:space="preserve">덫의 대가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</si>
  <si>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함정 동시 설치</t>
    </r>
    <r>
      <rPr>
        <sz val="9"/>
        <color rgb="FF000000"/>
        <rFont val="맑은 고딕"/>
        <family val="0"/>
        <charset val="1"/>
      </rPr>
      <t xml:space="preserve">+3, </t>
    </r>
    <r>
      <rPr>
        <sz val="9"/>
        <color rgb="FF000000"/>
        <rFont val="Noto Sans CJK SC"/>
        <family val="2"/>
      </rPr>
      <t xml:space="preserve">재사용 대기</t>
    </r>
    <r>
      <rPr>
        <sz val="9"/>
        <color rgb="FF000000"/>
        <rFont val="맑은 고딕"/>
        <family val="0"/>
        <charset val="1"/>
      </rPr>
      <t xml:space="preserve">-30%</t>
    </r>
  </si>
  <si>
    <t xml:space="preserve">야수 군단</t>
  </si>
  <si>
    <r>
      <rPr>
        <sz val="9"/>
        <color rgb="FF000000"/>
        <rFont val="Noto Sans CJK SC"/>
        <family val="2"/>
      </rPr>
      <t xml:space="preserve">대형 야수</t>
    </r>
    <r>
      <rPr>
        <sz val="9"/>
        <color rgb="FF000000"/>
        <rFont val="맑은 고딕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전체 함정 동시 폭발</t>
    </r>
  </si>
  <si>
    <r>
      <rPr>
        <b val="true"/>
        <sz val="16"/>
        <color rgb="FFC8A24B"/>
        <rFont val="맑은 고딕"/>
        <family val="0"/>
        <charset val="1"/>
      </rPr>
      <t xml:space="preserve">21. </t>
    </r>
    <r>
      <rPr>
        <b val="true"/>
        <sz val="16"/>
        <color rgb="FFC8A24B"/>
        <rFont val="Noto Sans CJK SC"/>
        <family val="2"/>
      </rPr>
      <t xml:space="preserve">마법사</t>
    </r>
    <r>
      <rPr>
        <b val="true"/>
        <sz val="16"/>
        <color rgb="FFC8A24B"/>
        <rFont val="맑은 고딕"/>
        <family val="0"/>
        <charset val="1"/>
      </rPr>
      <t xml:space="preserve">(Mage) </t>
    </r>
    <r>
      <rPr>
        <b val="true"/>
        <sz val="16"/>
        <color rgb="FFC8A24B"/>
        <rFont val="Noto Sans CJK SC"/>
        <family val="2"/>
      </rPr>
      <t xml:space="preserve">스킬트리</t>
    </r>
  </si>
  <si>
    <r>
      <rPr>
        <i val="true"/>
        <sz val="9"/>
        <color rgb="FF6B5A40"/>
        <rFont val="맑은 고딕"/>
        <family val="0"/>
        <charset val="1"/>
      </rPr>
      <t xml:space="preserve">8</t>
    </r>
    <r>
      <rPr>
        <i val="true"/>
        <sz val="9"/>
        <color rgb="FF6B5A40"/>
        <rFont val="Noto Sans CJK SC"/>
        <family val="2"/>
      </rPr>
      <t xml:space="preserve">원소 분화 </t>
    </r>
    <r>
      <rPr>
        <i val="true"/>
        <sz val="9"/>
        <color rgb="FF6B5A40"/>
        <rFont val="맑은 고딕"/>
        <family val="0"/>
        <charset val="1"/>
      </rPr>
      <t xml:space="preserve">· </t>
    </r>
    <r>
      <rPr>
        <i val="true"/>
        <sz val="9"/>
        <color rgb="FF6B5A40"/>
        <rFont val="Noto Sans CJK SC"/>
        <family val="2"/>
      </rPr>
      <t xml:space="preserve">원소별 명확한 특색 </t>
    </r>
    <r>
      <rPr>
        <i val="true"/>
        <sz val="9"/>
        <color rgb="FF6B5A40"/>
        <rFont val="맑은 고딕"/>
        <family val="0"/>
        <charset val="1"/>
      </rPr>
      <t xml:space="preserve">· Lv1~100 · </t>
    </r>
    <r>
      <rPr>
        <i val="true"/>
        <sz val="9"/>
        <color rgb="FF6B5A40"/>
        <rFont val="Noto Sans CJK SC"/>
        <family val="2"/>
      </rPr>
      <t xml:space="preserve">빨강</t>
    </r>
    <r>
      <rPr>
        <i val="true"/>
        <sz val="9"/>
        <color rgb="FF6B5A40"/>
        <rFont val="맑은 고딕"/>
        <family val="0"/>
        <charset val="1"/>
      </rPr>
      <t xml:space="preserve">=30~40Lv </t>
    </r>
    <r>
      <rPr>
        <i val="true"/>
        <sz val="9"/>
        <color rgb="FF6B5A40"/>
        <rFont val="Noto Sans CJK SC"/>
        <family val="2"/>
      </rPr>
      <t xml:space="preserve">특색 스킬 범위 확장</t>
    </r>
  </si>
  <si>
    <r>
      <rPr>
        <b val="true"/>
        <sz val="11"/>
        <color rgb="FFF4ECDD"/>
        <rFont val="Noto Sans CJK SC"/>
        <family val="2"/>
      </rPr>
      <t xml:space="preserve">◈ 불 </t>
    </r>
    <r>
      <rPr>
        <b val="true"/>
        <sz val="11"/>
        <color rgb="FFF4ECDD"/>
        <rFont val="맑은 고딕"/>
        <family val="0"/>
        <charset val="1"/>
      </rPr>
      <t xml:space="preserve">(Fire)  —  </t>
    </r>
    <r>
      <rPr>
        <b val="true"/>
        <sz val="11"/>
        <color rgb="FFF4ECDD"/>
        <rFont val="Noto Sans CJK SC"/>
        <family val="2"/>
      </rPr>
      <t xml:space="preserve">고데미지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스플래시 — 폭발적 화력의 정점</t>
    </r>
  </si>
  <si>
    <r>
      <rPr>
        <sz val="10"/>
        <color rgb="FF2E7D32"/>
        <rFont val="Noto Sans CJK SC"/>
        <family val="2"/>
      </rPr>
      <t xml:space="preserve">최상위 단일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광역 데미지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착탄 스플래시로 다수 동시 타격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화상 </t>
    </r>
    <r>
      <rPr>
        <sz val="10"/>
        <color rgb="FF2E7D32"/>
        <rFont val="맑은 고딕"/>
        <family val="0"/>
        <charset val="1"/>
      </rPr>
      <t xml:space="preserve">DoT </t>
    </r>
    <r>
      <rPr>
        <sz val="10"/>
        <color rgb="FF2E7D32"/>
        <rFont val="Noto Sans CJK SC"/>
        <family val="2"/>
      </rPr>
      <t xml:space="preserve">누적</t>
    </r>
  </si>
  <si>
    <r>
      <rPr>
        <sz val="10"/>
        <color rgb="FFC0392B"/>
        <rFont val="Noto Sans CJK SC"/>
        <family val="2"/>
      </rPr>
      <t xml:space="preserve">낮은 생존력</t>
    </r>
    <r>
      <rPr>
        <sz val="10"/>
        <color rgb="FFC0392B"/>
        <rFont val="맑은 고딕"/>
        <family val="0"/>
        <charset val="1"/>
      </rPr>
      <t xml:space="preserve">(</t>
    </r>
    <r>
      <rPr>
        <sz val="10"/>
        <color rgb="FFC0392B"/>
        <rFont val="Noto Sans CJK SC"/>
        <family val="2"/>
      </rPr>
      <t xml:space="preserve">글래스캐논</t>
    </r>
    <r>
      <rPr>
        <sz val="10"/>
        <color rgb="FFC0392B"/>
        <rFont val="맑은 고딕"/>
        <family val="0"/>
        <charset val="1"/>
      </rPr>
      <t xml:space="preserve">), </t>
    </r>
    <r>
      <rPr>
        <sz val="10"/>
        <color rgb="FFC0392B"/>
        <rFont val="Noto Sans CJK SC"/>
        <family val="2"/>
      </rPr>
      <t xml:space="preserve">자원 소모 큼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시전 시간이 있어 즉발성 낮음</t>
    </r>
  </si>
  <si>
    <t xml:space="preserve">화염탄</t>
  </si>
  <si>
    <t xml:space="preserve">단일 화염 투사</t>
  </si>
  <si>
    <t xml:space="preserve">화염구</t>
  </si>
  <si>
    <t xml:space="preserve">착탄 스플래시 폭발</t>
  </si>
  <si>
    <t xml:space="preserve">화염 폭발</t>
  </si>
  <si>
    <t xml:space="preserve">자기 주변 광역 폭발</t>
  </si>
  <si>
    <t xml:space="preserve">화염방사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</si>
  <si>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15/</t>
    </r>
    <r>
      <rPr>
        <sz val="9"/>
        <color rgb="FF000000"/>
        <rFont val="Noto Sans CJK SC"/>
        <family val="2"/>
      </rPr>
      <t xml:space="preserve">초</t>
    </r>
  </si>
  <si>
    <t xml:space="preserve">전방 콘 지속 채널링</t>
  </si>
  <si>
    <t xml:space="preserve">메테오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</si>
  <si>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40</t>
    </r>
  </si>
  <si>
    <r>
      <rPr>
        <sz val="9"/>
        <color rgb="FF000000"/>
        <rFont val="Noto Sans CJK SC"/>
        <family val="2"/>
      </rPr>
      <t xml:space="preserve">대광역 낙하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화염 장판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범위 확장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</si>
  <si>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0392B"/>
        <rFont val="Noto Sans CJK SC"/>
        <family val="2"/>
      </rPr>
      <t xml:space="preserve">연소 </t>
    </r>
    <r>
      <rPr>
        <b val="true"/>
        <sz val="10"/>
        <color rgb="FFC0392B"/>
        <rFont val="맑은 고딕"/>
        <family val="0"/>
        <charset val="1"/>
      </rPr>
      <t xml:space="preserve">[</t>
    </r>
    <r>
      <rPr>
        <b val="true"/>
        <sz val="10"/>
        <color rgb="FFC0392B"/>
        <rFont val="Noto Sans CJK SC"/>
        <family val="2"/>
      </rPr>
      <t xml:space="preserve">패시브</t>
    </r>
    <r>
      <rPr>
        <b val="true"/>
        <sz val="10"/>
        <color rgb="FFC0392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</si>
  <si>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화상 </t>
    </r>
    <r>
      <rPr>
        <sz val="9"/>
        <color rgb="FF000000"/>
        <rFont val="맑은 고딕"/>
        <family val="0"/>
        <charset val="1"/>
      </rPr>
      <t xml:space="preserve">DoT </t>
    </r>
    <r>
      <rPr>
        <sz val="9"/>
        <color rgb="FF000000"/>
        <rFont val="Noto Sans CJK SC"/>
        <family val="2"/>
      </rPr>
      <t xml:space="preserve">데미지</t>
    </r>
    <r>
      <rPr>
        <sz val="9"/>
        <color rgb="FF000000"/>
        <rFont val="맑은 고딕"/>
        <family val="0"/>
        <charset val="1"/>
      </rPr>
      <t xml:space="preserve">+50%, </t>
    </r>
    <r>
      <rPr>
        <sz val="9"/>
        <color rgb="FF000000"/>
        <rFont val="Noto Sans CJK SC"/>
        <family val="2"/>
      </rPr>
      <t xml:space="preserve">중첩 가능</t>
    </r>
  </si>
  <si>
    <t xml:space="preserve">인페르노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</si>
  <si>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50</t>
    </r>
  </si>
  <si>
    <r>
      <rPr>
        <b val="true"/>
        <sz val="9"/>
        <color rgb="FF000000"/>
        <rFont val="맑은 고딕"/>
        <family val="0"/>
        <charset val="1"/>
      </rPr>
      <t xml:space="preserve">0.80/</t>
    </r>
    <r>
      <rPr>
        <b val="true"/>
        <sz val="9"/>
        <color rgb="FF000000"/>
        <rFont val="Noto Sans CJK SC"/>
        <family val="2"/>
      </rPr>
      <t xml:space="preserve">틱</t>
    </r>
  </si>
  <si>
    <t xml:space="preserve">지정 대광역 지속 화염 장판</t>
  </si>
  <si>
    <t xml:space="preserve">화염 폭풍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</si>
  <si>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45</t>
    </r>
  </si>
  <si>
    <t xml:space="preserve">광역 다단 연쇄 폭격</t>
  </si>
  <si>
    <r>
      <rPr>
        <b val="true"/>
        <sz val="10"/>
        <color rgb="FFC8A24B"/>
        <rFont val="Noto Sans CJK SC"/>
        <family val="2"/>
      </rPr>
      <t xml:space="preserve">가열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</si>
  <si>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화상 중첩 대상 받는 모든 피해</t>
    </r>
    <r>
      <rPr>
        <sz val="9"/>
        <color rgb="FF000000"/>
        <rFont val="맑은 고딕"/>
        <family val="0"/>
        <charset val="1"/>
      </rPr>
      <t xml:space="preserve">+10%</t>
    </r>
  </si>
  <si>
    <t xml:space="preserve">화산 강림</t>
  </si>
  <si>
    <t xml:space="preserve">초대광역 연쇄 화산 폭발</t>
  </si>
  <si>
    <r>
      <rPr>
        <b val="true"/>
        <sz val="11"/>
        <color rgb="FFF4ECDD"/>
        <rFont val="Noto Sans CJK SC"/>
        <family val="2"/>
      </rPr>
      <t xml:space="preserve">◈ 얼음 </t>
    </r>
    <r>
      <rPr>
        <b val="true"/>
        <sz val="11"/>
        <color rgb="FFF4ECDD"/>
        <rFont val="맑은 고딕"/>
        <family val="0"/>
        <charset val="1"/>
      </rPr>
      <t xml:space="preserve">(Ice)  —  </t>
    </r>
    <r>
      <rPr>
        <b val="true"/>
        <sz val="11"/>
        <color rgb="FFF4ECDD"/>
        <rFont val="Noto Sans CJK SC"/>
        <family val="2"/>
      </rPr>
      <t xml:space="preserve">이동제한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제어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광역 — 전장을 얼리다</t>
    </r>
  </si>
  <si>
    <r>
      <rPr>
        <sz val="10"/>
        <color rgb="FF2E7D32"/>
        <rFont val="Noto Sans CJK SC"/>
        <family val="2"/>
      </rPr>
      <t xml:space="preserve">최강 군중제어</t>
    </r>
    <r>
      <rPr>
        <sz val="10"/>
        <color rgb="FF2E7D32"/>
        <rFont val="맑은 고딕"/>
        <family val="0"/>
        <charset val="1"/>
      </rPr>
      <t xml:space="preserve">(</t>
    </r>
    <r>
      <rPr>
        <sz val="10"/>
        <color rgb="FF2E7D32"/>
        <rFont val="Noto Sans CJK SC"/>
        <family val="2"/>
      </rPr>
      <t xml:space="preserve">빙결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둔화</t>
    </r>
    <r>
      <rPr>
        <sz val="10"/>
        <color rgb="FF2E7D32"/>
        <rFont val="맑은 고딕"/>
        <family val="0"/>
        <charset val="1"/>
      </rPr>
      <t xml:space="preserve">), </t>
    </r>
    <r>
      <rPr>
        <sz val="10"/>
        <color rgb="FF2E7D32"/>
        <rFont val="Noto Sans CJK SC"/>
        <family val="2"/>
      </rPr>
      <t xml:space="preserve">안정적 광역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적 묶고 안전하게 딜링</t>
    </r>
  </si>
  <si>
    <r>
      <rPr>
        <sz val="10"/>
        <color rgb="FFC0392B"/>
        <rFont val="Noto Sans CJK SC"/>
        <family val="2"/>
      </rPr>
      <t xml:space="preserve">단일 순간딜 중간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빙결 면역 적에게 약함</t>
    </r>
  </si>
  <si>
    <t xml:space="preserve">얼음 화살</t>
  </si>
  <si>
    <r>
      <rPr>
        <sz val="9"/>
        <color rgb="FF000000"/>
        <rFont val="Noto Sans CJK SC"/>
        <family val="2"/>
      </rPr>
      <t xml:space="preserve">단일 </t>
    </r>
    <r>
      <rPr>
        <sz val="9"/>
        <color rgb="FF000000"/>
        <rFont val="맑은 고딕"/>
        <family val="0"/>
        <charset val="1"/>
      </rPr>
      <t xml:space="preserve">+ 20% </t>
    </r>
    <r>
      <rPr>
        <sz val="9"/>
        <color rgb="FF000000"/>
        <rFont val="Noto Sans CJK SC"/>
        <family val="2"/>
      </rPr>
      <t xml:space="preserve">둔화</t>
    </r>
  </si>
  <si>
    <t xml:space="preserve">서리 폭발</t>
  </si>
  <si>
    <r>
      <rPr>
        <sz val="9"/>
        <color rgb="FF000000"/>
        <rFont val="Noto Sans CJK SC"/>
        <family val="2"/>
      </rPr>
      <t xml:space="preserve">주변 광역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둔화</t>
    </r>
  </si>
  <si>
    <r>
      <rPr>
        <sz val="9"/>
        <color rgb="FF000000"/>
        <rFont val="Noto Sans CJK SC"/>
        <family val="2"/>
      </rPr>
      <t xml:space="preserve">단일 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초 행동불가</t>
    </r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</si>
  <si>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35</t>
    </r>
  </si>
  <si>
    <r>
      <rPr>
        <b val="true"/>
        <sz val="9"/>
        <color rgb="FF000000"/>
        <rFont val="맑은 고딕"/>
        <family val="0"/>
        <charset val="1"/>
      </rPr>
      <t xml:space="preserve">0.70/</t>
    </r>
    <r>
      <rPr>
        <b val="true"/>
        <sz val="9"/>
        <color rgb="FF000000"/>
        <rFont val="Noto Sans CJK SC"/>
        <family val="2"/>
      </rPr>
      <t xml:space="preserve">틱</t>
    </r>
  </si>
  <si>
    <r>
      <rPr>
        <sz val="9"/>
        <color rgb="FF000000"/>
        <rFont val="Noto Sans CJK SC"/>
        <family val="2"/>
      </rPr>
      <t xml:space="preserve">지정 광역 지속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지속 둔화</t>
    </r>
  </si>
  <si>
    <t xml:space="preserve">빙벽</t>
  </si>
  <si>
    <r>
      <rPr>
        <sz val="9"/>
        <color rgb="FF000000"/>
        <rFont val="Noto Sans CJK SC"/>
        <family val="2"/>
      </rPr>
      <t xml:space="preserve">얼음 장벽 생성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진로 차단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범위 확장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</si>
  <si>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0392B"/>
        <rFont val="Noto Sans CJK SC"/>
        <family val="2"/>
      </rPr>
      <t xml:space="preserve">동상 </t>
    </r>
    <r>
      <rPr>
        <b val="true"/>
        <sz val="10"/>
        <color rgb="FFC0392B"/>
        <rFont val="맑은 고딕"/>
        <family val="0"/>
        <charset val="1"/>
      </rPr>
      <t xml:space="preserve">[</t>
    </r>
    <r>
      <rPr>
        <b val="true"/>
        <sz val="10"/>
        <color rgb="FFC0392B"/>
        <rFont val="Noto Sans CJK SC"/>
        <family val="2"/>
      </rPr>
      <t xml:space="preserve">패시브</t>
    </r>
    <r>
      <rPr>
        <b val="true"/>
        <sz val="10"/>
        <color rgb="FFC0392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</si>
  <si>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둔화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빙결 대상에게 데미지</t>
    </r>
    <r>
      <rPr>
        <sz val="9"/>
        <color rgb="FF000000"/>
        <rFont val="맑은 고딕"/>
        <family val="0"/>
        <charset val="1"/>
      </rPr>
      <t xml:space="preserve">+30%</t>
    </r>
  </si>
  <si>
    <t xml:space="preserve">절대영도</t>
  </si>
  <si>
    <t xml:space="preserve">넓은 범위 즉시 빙결</t>
  </si>
  <si>
    <t xml:space="preserve">얼음 가시</t>
  </si>
  <si>
    <r>
      <rPr>
        <sz val="9"/>
        <color rgb="FF000000"/>
        <rFont val="Noto Sans CJK SC"/>
        <family val="2"/>
      </rPr>
      <t xml:space="preserve">빙결 대상 폭발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빙결 연계 폭딜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</si>
  <si>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8A24B"/>
        <rFont val="Noto Sans CJK SC"/>
        <family val="2"/>
      </rPr>
      <t xml:space="preserve">결빙 가속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</si>
  <si>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빙결 적 사망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해제 시 주변 전파</t>
    </r>
  </si>
  <si>
    <t xml:space="preserve">빙하기</t>
  </si>
  <si>
    <r>
      <rPr>
        <sz val="9"/>
        <color rgb="FF000000"/>
        <rFont val="Noto Sans CJK SC"/>
        <family val="2"/>
      </rPr>
      <t xml:space="preserve">맵 광역 빙결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지속 냉기 피해</t>
    </r>
  </si>
  <si>
    <r>
      <rPr>
        <b val="true"/>
        <sz val="11"/>
        <color rgb="FFF4ECDD"/>
        <rFont val="Noto Sans CJK SC"/>
        <family val="2"/>
      </rPr>
      <t xml:space="preserve">◈ 번개 </t>
    </r>
    <r>
      <rPr>
        <b val="true"/>
        <sz val="11"/>
        <color rgb="FFF4ECDD"/>
        <rFont val="맑은 고딕"/>
        <family val="0"/>
        <charset val="1"/>
      </rPr>
      <t xml:space="preserve">(Lightning)  —  </t>
    </r>
    <r>
      <rPr>
        <b val="true"/>
        <sz val="11"/>
        <color rgb="FFF4ECDD"/>
        <rFont val="Noto Sans CJK SC"/>
        <family val="2"/>
      </rPr>
      <t xml:space="preserve">연쇄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즉발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속공 — 빛처럼 빠른 마법</t>
    </r>
  </si>
  <si>
    <r>
      <rPr>
        <sz val="10"/>
        <color rgb="FF2E7D32"/>
        <rFont val="Noto Sans CJK SC"/>
        <family val="2"/>
      </rPr>
      <t xml:space="preserve">즉발 시전</t>
    </r>
    <r>
      <rPr>
        <sz val="10"/>
        <color rgb="FF2E7D32"/>
        <rFont val="맑은 고딕"/>
        <family val="0"/>
        <charset val="1"/>
      </rPr>
      <t xml:space="preserve">(</t>
    </r>
    <r>
      <rPr>
        <sz val="10"/>
        <color rgb="FF2E7D32"/>
        <rFont val="Noto Sans CJK SC"/>
        <family val="2"/>
      </rPr>
      <t xml:space="preserve">시전시간 거의 없음</t>
    </r>
    <r>
      <rPr>
        <sz val="10"/>
        <color rgb="FF2E7D32"/>
        <rFont val="맑은 고딕"/>
        <family val="0"/>
        <charset val="1"/>
      </rPr>
      <t xml:space="preserve">), </t>
    </r>
    <r>
      <rPr>
        <sz val="10"/>
        <color rgb="FF2E7D32"/>
        <rFont val="Noto Sans CJK SC"/>
        <family val="2"/>
      </rPr>
      <t xml:space="preserve">연쇄로 다수 타격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빠른 전투 템포</t>
    </r>
  </si>
  <si>
    <r>
      <rPr>
        <sz val="10"/>
        <color rgb="FFC0392B"/>
        <rFont val="Noto Sans CJK SC"/>
        <family val="2"/>
      </rPr>
      <t xml:space="preserve">단일 집중 화력 약함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연쇄 대상 적으면 효율 급감</t>
    </r>
  </si>
  <si>
    <t xml:space="preserve">전격</t>
  </si>
  <si>
    <t xml:space="preserve">즉발 단일 번개</t>
  </si>
  <si>
    <t xml:space="preserve">연쇄 번개</t>
  </si>
  <si>
    <r>
      <rPr>
        <sz val="9"/>
        <color rgb="FF000000"/>
        <rFont val="Noto Sans CJK SC"/>
        <family val="2"/>
      </rPr>
      <t xml:space="preserve">최대 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체 연쇄</t>
    </r>
  </si>
  <si>
    <r>
      <rPr>
        <sz val="9"/>
        <color rgb="FF000000"/>
        <rFont val="Noto Sans CJK SC"/>
        <family val="2"/>
      </rPr>
      <t xml:space="preserve">둔화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지속 감전 </t>
    </r>
    <r>
      <rPr>
        <sz val="9"/>
        <color rgb="FF000000"/>
        <rFont val="맑은 고딕"/>
        <family val="0"/>
        <charset val="1"/>
      </rPr>
      <t xml:space="preserve">DoT</t>
    </r>
  </si>
  <si>
    <t xml:space="preserve">번개 작렬</t>
  </si>
  <si>
    <t xml:space="preserve">즉발 단일 강타</t>
  </si>
  <si>
    <t xml:space="preserve">폭풍우</t>
  </si>
  <si>
    <r>
      <rPr>
        <sz val="9"/>
        <color rgb="FF000000"/>
        <rFont val="Noto Sans CJK SC"/>
        <family val="2"/>
      </rPr>
      <t xml:space="preserve">지정 광역 다중 낙뢰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범위 확장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</si>
  <si>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0392B"/>
        <rFont val="Noto Sans CJK SC"/>
        <family val="2"/>
      </rPr>
      <t xml:space="preserve">전도 </t>
    </r>
    <r>
      <rPr>
        <b val="true"/>
        <sz val="10"/>
        <color rgb="FFC0392B"/>
        <rFont val="맑은 고딕"/>
        <family val="0"/>
        <charset val="1"/>
      </rPr>
      <t xml:space="preserve">[</t>
    </r>
    <r>
      <rPr>
        <b val="true"/>
        <sz val="10"/>
        <color rgb="FFC0392B"/>
        <rFont val="Noto Sans CJK SC"/>
        <family val="2"/>
      </rPr>
      <t xml:space="preserve">패시브</t>
    </r>
    <r>
      <rPr>
        <b val="true"/>
        <sz val="10"/>
        <color rgb="FFC0392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</si>
  <si>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연쇄 횟수</t>
    </r>
    <r>
      <rPr>
        <sz val="9"/>
        <color rgb="FF000000"/>
        <rFont val="맑은 고딕"/>
        <family val="0"/>
        <charset val="1"/>
      </rPr>
      <t xml:space="preserve">+2, </t>
    </r>
    <r>
      <rPr>
        <sz val="9"/>
        <color rgb="FF000000"/>
        <rFont val="Noto Sans CJK SC"/>
        <family val="2"/>
      </rPr>
      <t xml:space="preserve">연쇄 데미지 감쇠 완화</t>
    </r>
  </si>
  <si>
    <t xml:space="preserve">천둥 강타</t>
  </si>
  <si>
    <r>
      <rPr>
        <sz val="9"/>
        <color rgb="FF000000"/>
        <rFont val="Noto Sans CJK SC"/>
        <family val="2"/>
      </rPr>
      <t xml:space="preserve">대상 주변 광역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기절</t>
    </r>
  </si>
  <si>
    <t xml:space="preserve">뇌전 폭주</t>
  </si>
  <si>
    <r>
      <rPr>
        <b val="true"/>
        <sz val="9"/>
        <color rgb="FF000000"/>
        <rFont val="맑은 고딕"/>
        <family val="0"/>
        <charset val="1"/>
      </rPr>
      <t xml:space="preserve">0.60/</t>
    </r>
    <r>
      <rPr>
        <b val="true"/>
        <sz val="9"/>
        <color rgb="FF000000"/>
        <rFont val="Noto Sans CJK SC"/>
        <family val="2"/>
      </rPr>
      <t xml:space="preserve">틱</t>
    </r>
  </si>
  <si>
    <t xml:space="preserve">채널링 지속 연쇄 난사</t>
  </si>
  <si>
    <r>
      <rPr>
        <b val="true"/>
        <sz val="10"/>
        <color rgb="FFC8A24B"/>
        <rFont val="Noto Sans CJK SC"/>
        <family val="2"/>
      </rPr>
      <t xml:space="preserve">과부하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</si>
  <si>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치명타 시 추가 연쇄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회 발동</t>
    </r>
  </si>
  <si>
    <t xml:space="preserve">신뢰 강림</t>
  </si>
  <si>
    <t xml:space="preserve">초고속 전체 연쇄 낙뢰 폭격</t>
  </si>
  <si>
    <r>
      <rPr>
        <b val="true"/>
        <sz val="11"/>
        <color rgb="FFF4ECDD"/>
        <rFont val="Noto Sans CJK SC"/>
        <family val="2"/>
      </rPr>
      <t xml:space="preserve">◈ 물 </t>
    </r>
    <r>
      <rPr>
        <b val="true"/>
        <sz val="11"/>
        <color rgb="FFF4ECDD"/>
        <rFont val="맑은 고딕"/>
        <family val="0"/>
        <charset val="1"/>
      </rPr>
      <t xml:space="preserve">(Water)  —  </t>
    </r>
    <r>
      <rPr>
        <b val="true"/>
        <sz val="11"/>
        <color rgb="FFF4ECDD"/>
        <rFont val="Noto Sans CJK SC"/>
        <family val="2"/>
      </rPr>
      <t xml:space="preserve">지속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관통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회복보조 — 흐르는 마력</t>
    </r>
  </si>
  <si>
    <r>
      <rPr>
        <sz val="10"/>
        <color rgb="FF2E7D32"/>
        <rFont val="Noto Sans CJK SC"/>
        <family val="2"/>
      </rPr>
      <t xml:space="preserve">관통 지속 딜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자가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아군 회복 보조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끌어당김 제어로 군집 형성</t>
    </r>
  </si>
  <si>
    <r>
      <rPr>
        <sz val="10"/>
        <color rgb="FFC0392B"/>
        <rFont val="Noto Sans CJK SC"/>
        <family val="2"/>
      </rPr>
      <t xml:space="preserve">단일 순간 폭딜 약함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즉사기 부재</t>
    </r>
    <r>
      <rPr>
        <sz val="10"/>
        <color rgb="FFC0392B"/>
        <rFont val="맑은 고딕"/>
        <family val="0"/>
        <charset val="1"/>
      </rPr>
      <t xml:space="preserve">(</t>
    </r>
    <r>
      <rPr>
        <sz val="10"/>
        <color rgb="FFC0392B"/>
        <rFont val="Noto Sans CJK SC"/>
        <family val="2"/>
      </rPr>
      <t xml:space="preserve">꾸준딜형</t>
    </r>
    <r>
      <rPr>
        <sz val="10"/>
        <color rgb="FFC0392B"/>
        <rFont val="맑은 고딕"/>
        <family val="0"/>
        <charset val="1"/>
      </rPr>
      <t xml:space="preserve">)</t>
    </r>
  </si>
  <si>
    <t xml:space="preserve">물줄기</t>
  </si>
  <si>
    <t xml:space="preserve">직선 관통 물줄기</t>
  </si>
  <si>
    <t xml:space="preserve">수압 사출</t>
  </si>
  <si>
    <t xml:space="preserve">직선 관통 강타</t>
  </si>
  <si>
    <t xml:space="preserve">치유의 물</t>
  </si>
  <si>
    <r>
      <rPr>
        <sz val="9"/>
        <color rgb="FF000000"/>
        <rFont val="Noto Sans CJK SC"/>
        <family val="2"/>
      </rPr>
      <t xml:space="preserve">자신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아군 체력 회복</t>
    </r>
  </si>
  <si>
    <t xml:space="preserve">해일</t>
  </si>
  <si>
    <r>
      <rPr>
        <sz val="9"/>
        <color rgb="FF000000"/>
        <rFont val="Noto Sans CJK SC"/>
        <family val="2"/>
      </rPr>
      <t xml:space="preserve">전방 광역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밀쳐냄</t>
    </r>
  </si>
  <si>
    <r>
      <rPr>
        <sz val="9"/>
        <color rgb="FF000000"/>
        <rFont val="Noto Sans CJK SC"/>
        <family val="2"/>
      </rPr>
      <t xml:space="preserve">지정 광역 지속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끌어당김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범위 확장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</si>
  <si>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0392B"/>
        <rFont val="Noto Sans CJK SC"/>
        <family val="2"/>
      </rPr>
      <t xml:space="preserve">유동 </t>
    </r>
    <r>
      <rPr>
        <b val="true"/>
        <sz val="10"/>
        <color rgb="FFC0392B"/>
        <rFont val="맑은 고딕"/>
        <family val="0"/>
        <charset val="1"/>
      </rPr>
      <t xml:space="preserve">[</t>
    </r>
    <r>
      <rPr>
        <b val="true"/>
        <sz val="10"/>
        <color rgb="FFC0392B"/>
        <rFont val="Noto Sans CJK SC"/>
        <family val="2"/>
      </rPr>
      <t xml:space="preserve">패시브</t>
    </r>
    <r>
      <rPr>
        <b val="true"/>
        <sz val="10"/>
        <color rgb="FFC0392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</si>
  <si>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지속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채널</t>
    </r>
    <r>
      <rPr>
        <sz val="9"/>
        <color rgb="FF000000"/>
        <rFont val="맑은 고딕"/>
        <family val="0"/>
        <charset val="1"/>
      </rPr>
      <t xml:space="preserve">·DoT) </t>
    </r>
    <r>
      <rPr>
        <sz val="9"/>
        <color rgb="FF000000"/>
        <rFont val="Noto Sans CJK SC"/>
        <family val="2"/>
      </rPr>
      <t xml:space="preserve">피해</t>
    </r>
    <r>
      <rPr>
        <sz val="9"/>
        <color rgb="FF000000"/>
        <rFont val="맑은 고딕"/>
        <family val="0"/>
        <charset val="1"/>
      </rPr>
      <t xml:space="preserve">+30%</t>
    </r>
  </si>
  <si>
    <t xml:space="preserve">정화의 비</t>
  </si>
  <si>
    <r>
      <rPr>
        <sz val="9"/>
        <color rgb="FF000000"/>
        <rFont val="Noto Sans CJK SC"/>
        <family val="2"/>
      </rPr>
      <t xml:space="preserve">광역 회복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디버프 정화</t>
    </r>
  </si>
  <si>
    <t xml:space="preserve">대해일</t>
  </si>
  <si>
    <t xml:space="preserve">초광역 관통 파도</t>
  </si>
  <si>
    <r>
      <rPr>
        <b val="true"/>
        <sz val="10"/>
        <color rgb="FFC8A24B"/>
        <rFont val="Noto Sans CJK SC"/>
        <family val="2"/>
      </rPr>
      <t xml:space="preserve">수원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</si>
  <si>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스킬 적중 시 체력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마나 소량 회복</t>
    </r>
  </si>
  <si>
    <t xml:space="preserve">심해의 분노</t>
  </si>
  <si>
    <r>
      <rPr>
        <b val="true"/>
        <sz val="9"/>
        <color rgb="FF000000"/>
        <rFont val="맑은 고딕"/>
        <family val="0"/>
        <charset val="1"/>
      </rPr>
      <t xml:space="preserve">1.00/</t>
    </r>
    <r>
      <rPr>
        <b val="true"/>
        <sz val="9"/>
        <color rgb="FF000000"/>
        <rFont val="Noto Sans CJK SC"/>
        <family val="2"/>
      </rPr>
      <t xml:space="preserve">틱</t>
    </r>
  </si>
  <si>
    <r>
      <rPr>
        <sz val="9"/>
        <color rgb="FF000000"/>
        <rFont val="Noto Sans CJK SC"/>
        <family val="2"/>
      </rPr>
      <t xml:space="preserve">대광역 지속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끌어당김 군중제어</t>
    </r>
  </si>
  <si>
    <r>
      <rPr>
        <b val="true"/>
        <sz val="11"/>
        <color rgb="FFF4ECDD"/>
        <rFont val="Noto Sans CJK SC"/>
        <family val="2"/>
      </rPr>
      <t xml:space="preserve">◈ 바람 </t>
    </r>
    <r>
      <rPr>
        <b val="true"/>
        <sz val="11"/>
        <color rgb="FFF4ECDD"/>
        <rFont val="맑은 고딕"/>
        <family val="0"/>
        <charset val="1"/>
      </rPr>
      <t xml:space="preserve">(Wind)  —  </t>
    </r>
    <r>
      <rPr>
        <b val="true"/>
        <sz val="11"/>
        <color rgb="FFF4ECDD"/>
        <rFont val="Noto Sans CJK SC"/>
        <family val="2"/>
      </rPr>
      <t xml:space="preserve">기동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넉백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견제 — 바람처럼 자유롭게</t>
    </r>
  </si>
  <si>
    <r>
      <rPr>
        <sz val="10"/>
        <color rgb="FF2E7D32"/>
        <rFont val="Noto Sans CJK SC"/>
        <family val="2"/>
      </rPr>
      <t xml:space="preserve">최상위 기동성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시전 중 이동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넉백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끌어모음 견제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빠른 광역 처리</t>
    </r>
  </si>
  <si>
    <r>
      <rPr>
        <sz val="10"/>
        <color rgb="FFC0392B"/>
        <rFont val="Noto Sans CJK SC"/>
        <family val="2"/>
      </rPr>
      <t xml:space="preserve">낮은 데미지</t>
    </r>
    <r>
      <rPr>
        <sz val="10"/>
        <color rgb="FFC0392B"/>
        <rFont val="맑은 고딕"/>
        <family val="0"/>
        <charset val="1"/>
      </rPr>
      <t xml:space="preserve">(</t>
    </r>
    <r>
      <rPr>
        <sz val="10"/>
        <color rgb="FFC0392B"/>
        <rFont val="Noto Sans CJK SC"/>
        <family val="2"/>
      </rPr>
      <t xml:space="preserve">견제형</t>
    </r>
    <r>
      <rPr>
        <sz val="10"/>
        <color rgb="FFC0392B"/>
        <rFont val="맑은 고딕"/>
        <family val="0"/>
        <charset val="1"/>
      </rPr>
      <t xml:space="preserve">), </t>
    </r>
    <r>
      <rPr>
        <sz val="10"/>
        <color rgb="FFC0392B"/>
        <rFont val="Noto Sans CJK SC"/>
        <family val="2"/>
      </rPr>
      <t xml:space="preserve">단일 보스전 화력 부족</t>
    </r>
  </si>
  <si>
    <t xml:space="preserve">바람칼날</t>
  </si>
  <si>
    <t xml:space="preserve">빠른 단일 칼바람</t>
  </si>
  <si>
    <t xml:space="preserve">질풍</t>
  </si>
  <si>
    <r>
      <rPr>
        <sz val="9"/>
        <color rgb="FF000000"/>
        <rFont val="Noto Sans CJK SC"/>
        <family val="2"/>
      </rPr>
      <t xml:space="preserve">이동속도</t>
    </r>
    <r>
      <rPr>
        <sz val="9"/>
        <color rgb="FF000000"/>
        <rFont val="맑은 고딕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버프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대시</t>
    </r>
  </si>
  <si>
    <t xml:space="preserve">돌풍</t>
  </si>
  <si>
    <t xml:space="preserve">전방 광역 넉백</t>
  </si>
  <si>
    <t xml:space="preserve">회오리</t>
  </si>
  <si>
    <r>
      <rPr>
        <sz val="9"/>
        <color rgb="FF000000"/>
        <rFont val="Noto Sans CJK SC"/>
        <family val="2"/>
      </rPr>
      <t xml:space="preserve">지정 광역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끌어모음</t>
    </r>
  </si>
  <si>
    <t xml:space="preserve">폭풍의 눈</t>
  </si>
  <si>
    <r>
      <rPr>
        <sz val="9"/>
        <color rgb="FF000000"/>
        <rFont val="Noto Sans CJK SC"/>
        <family val="2"/>
      </rPr>
      <t xml:space="preserve">대형 광역 지속 견제장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범위 확장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</si>
  <si>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0392B"/>
        <rFont val="Noto Sans CJK SC"/>
        <family val="2"/>
      </rPr>
      <t xml:space="preserve">표류 </t>
    </r>
    <r>
      <rPr>
        <b val="true"/>
        <sz val="10"/>
        <color rgb="FFC0392B"/>
        <rFont val="맑은 고딕"/>
        <family val="0"/>
        <charset val="1"/>
      </rPr>
      <t xml:space="preserve">[</t>
    </r>
    <r>
      <rPr>
        <b val="true"/>
        <sz val="10"/>
        <color rgb="FFC0392B"/>
        <rFont val="Noto Sans CJK SC"/>
        <family val="2"/>
      </rPr>
      <t xml:space="preserve">패시브</t>
    </r>
    <r>
      <rPr>
        <b val="true"/>
        <sz val="10"/>
        <color rgb="FFC0392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</si>
  <si>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이동 중 시전속도</t>
    </r>
    <r>
      <rPr>
        <sz val="9"/>
        <color rgb="FF000000"/>
        <rFont val="맑은 고딕"/>
        <family val="0"/>
        <charset val="1"/>
      </rPr>
      <t xml:space="preserve">+30%</t>
    </r>
  </si>
  <si>
    <t xml:space="preserve">토네이도</t>
  </si>
  <si>
    <t xml:space="preserve">추적 이동 광역 회오리</t>
  </si>
  <si>
    <t xml:space="preserve">칼바람</t>
  </si>
  <si>
    <t xml:space="preserve">전방위 다단 베기</t>
  </si>
  <si>
    <r>
      <rPr>
        <b val="true"/>
        <sz val="10"/>
        <color rgb="FFC8A24B"/>
        <rFont val="Noto Sans CJK SC"/>
        <family val="2"/>
      </rPr>
      <t xml:space="preserve">순풍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</si>
  <si>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t xml:space="preserve">회피 직후 다음 스킬 즉시 시전</t>
  </si>
  <si>
    <t xml:space="preserve">태풍</t>
  </si>
  <si>
    <r>
      <rPr>
        <b val="true"/>
        <sz val="9"/>
        <color rgb="FF000000"/>
        <rFont val="맑은 고딕"/>
        <family val="0"/>
        <charset val="1"/>
      </rPr>
      <t xml:space="preserve">1.20/</t>
    </r>
    <r>
      <rPr>
        <b val="true"/>
        <sz val="9"/>
        <color rgb="FF000000"/>
        <rFont val="Noto Sans CJK SC"/>
        <family val="2"/>
      </rPr>
      <t xml:space="preserve">틱</t>
    </r>
  </si>
  <si>
    <r>
      <rPr>
        <sz val="9"/>
        <color rgb="FF000000"/>
        <rFont val="Noto Sans CJK SC"/>
        <family val="2"/>
      </rPr>
      <t xml:space="preserve">맵 광역 넉백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지속 피해</t>
    </r>
  </si>
  <si>
    <r>
      <rPr>
        <b val="true"/>
        <sz val="11"/>
        <color rgb="FFF4ECDD"/>
        <rFont val="Noto Sans CJK SC"/>
        <family val="2"/>
      </rPr>
      <t xml:space="preserve">◈ 땅 </t>
    </r>
    <r>
      <rPr>
        <b val="true"/>
        <sz val="11"/>
        <color rgb="FFF4ECDD"/>
        <rFont val="맑은 고딕"/>
        <family val="0"/>
        <charset val="1"/>
      </rPr>
      <t xml:space="preserve">(Earth)  —  </t>
    </r>
    <r>
      <rPr>
        <b val="true"/>
        <sz val="11"/>
        <color rgb="FFF4ECDD"/>
        <rFont val="Noto Sans CJK SC"/>
        <family val="2"/>
      </rPr>
      <t xml:space="preserve">방어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기절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강력단일 — 대지의 무게</t>
    </r>
  </si>
  <si>
    <r>
      <rPr>
        <sz val="10"/>
        <color rgb="FF2E7D32"/>
        <rFont val="Noto Sans CJK SC"/>
        <family val="2"/>
      </rPr>
      <t xml:space="preserve">마법사 중 최고 생존력</t>
    </r>
    <r>
      <rPr>
        <sz val="10"/>
        <color rgb="FF2E7D32"/>
        <rFont val="맑은 고딕"/>
        <family val="0"/>
        <charset val="1"/>
      </rPr>
      <t xml:space="preserve">(</t>
    </r>
    <r>
      <rPr>
        <sz val="10"/>
        <color rgb="FF2E7D32"/>
        <rFont val="Noto Sans CJK SC"/>
        <family val="2"/>
      </rPr>
      <t xml:space="preserve">보호막</t>
    </r>
    <r>
      <rPr>
        <sz val="10"/>
        <color rgb="FF2E7D32"/>
        <rFont val="맑은 고딕"/>
        <family val="0"/>
        <charset val="1"/>
      </rPr>
      <t xml:space="preserve">/</t>
    </r>
    <r>
      <rPr>
        <sz val="10"/>
        <color rgb="FF2E7D32"/>
        <rFont val="Noto Sans CJK SC"/>
        <family val="2"/>
      </rPr>
      <t xml:space="preserve">방어</t>
    </r>
    <r>
      <rPr>
        <sz val="10"/>
        <color rgb="FF2E7D32"/>
        <rFont val="맑은 고딕"/>
        <family val="0"/>
        <charset val="1"/>
      </rPr>
      <t xml:space="preserve">), </t>
    </r>
    <r>
      <rPr>
        <sz val="10"/>
        <color rgb="FF2E7D32"/>
        <rFont val="Noto Sans CJK SC"/>
        <family val="2"/>
      </rPr>
      <t xml:space="preserve">강력한 기절 제어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묵직한 단일 화력</t>
    </r>
  </si>
  <si>
    <r>
      <rPr>
        <sz val="10"/>
        <color rgb="FFC0392B"/>
        <rFont val="Noto Sans CJK SC"/>
        <family val="2"/>
      </rPr>
      <t xml:space="preserve">매우 느린 시전</t>
    </r>
    <r>
      <rPr>
        <sz val="10"/>
        <color rgb="FFC0392B"/>
        <rFont val="맑은 고딕"/>
        <family val="0"/>
        <charset val="1"/>
      </rPr>
      <t xml:space="preserve">·</t>
    </r>
    <r>
      <rPr>
        <sz val="10"/>
        <color rgb="FFC0392B"/>
        <rFont val="Noto Sans CJK SC"/>
        <family val="2"/>
      </rPr>
      <t xml:space="preserve">이동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기동성 최하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빠른 적에게 약함</t>
    </r>
  </si>
  <si>
    <t xml:space="preserve">돌팔매</t>
  </si>
  <si>
    <r>
      <rPr>
        <sz val="9"/>
        <color rgb="FF000000"/>
        <rFont val="Noto Sans CJK SC"/>
        <family val="2"/>
      </rPr>
      <t xml:space="preserve">단일 투석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느림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</si>
  <si>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바위 가시</t>
  </si>
  <si>
    <t xml:space="preserve">지면 융기 단일 강타</t>
  </si>
  <si>
    <t xml:space="preserve">지진</t>
  </si>
  <si>
    <r>
      <rPr>
        <sz val="9"/>
        <color rgb="FF000000"/>
        <rFont val="Noto Sans CJK SC"/>
        <family val="2"/>
      </rPr>
      <t xml:space="preserve">주변 광역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기절</t>
    </r>
  </si>
  <si>
    <t xml:space="preserve">석화</t>
  </si>
  <si>
    <t xml:space="preserve">단일 장시간 행동불가</t>
  </si>
  <si>
    <t xml:space="preserve">운석 낙하</t>
  </si>
  <si>
    <r>
      <rPr>
        <sz val="9"/>
        <color rgb="FF000000"/>
        <rFont val="Noto Sans CJK SC"/>
        <family val="2"/>
      </rPr>
      <t xml:space="preserve">대광역 낙하 강타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범위 확장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</si>
  <si>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0392B"/>
        <rFont val="Noto Sans CJK SC"/>
        <family val="2"/>
      </rPr>
      <t xml:space="preserve">견고 </t>
    </r>
    <r>
      <rPr>
        <b val="true"/>
        <sz val="10"/>
        <color rgb="FFC0392B"/>
        <rFont val="맑은 고딕"/>
        <family val="0"/>
        <charset val="1"/>
      </rPr>
      <t xml:space="preserve">[</t>
    </r>
    <r>
      <rPr>
        <b val="true"/>
        <sz val="10"/>
        <color rgb="FFC0392B"/>
        <rFont val="Noto Sans CJK SC"/>
        <family val="2"/>
      </rPr>
      <t xml:space="preserve">패시브</t>
    </r>
    <r>
      <rPr>
        <b val="true"/>
        <sz val="10"/>
        <color rgb="FFC0392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</si>
  <si>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상시 보호막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방어도</t>
    </r>
    <r>
      <rPr>
        <sz val="9"/>
        <color rgb="FF000000"/>
        <rFont val="맑은 고딕"/>
        <family val="0"/>
        <charset val="1"/>
      </rPr>
      <t xml:space="preserve">+30%</t>
    </r>
  </si>
  <si>
    <t xml:space="preserve">대지의 분노</t>
  </si>
  <si>
    <t xml:space="preserve">광역 다단 지면 융기</t>
  </si>
  <si>
    <t xml:space="preserve">산사태</t>
  </si>
  <si>
    <r>
      <rPr>
        <sz val="9"/>
        <color rgb="FF000000"/>
        <rFont val="Noto Sans CJK SC"/>
        <family val="2"/>
      </rPr>
      <t xml:space="preserve">직선 강력 관통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기절</t>
    </r>
  </si>
  <si>
    <r>
      <rPr>
        <b val="true"/>
        <sz val="10"/>
        <color rgb="FFC8A24B"/>
        <rFont val="Noto Sans CJK SC"/>
        <family val="2"/>
      </rPr>
      <t xml:space="preserve">지각 변동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</si>
  <si>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기절 대상에게 데미지</t>
    </r>
    <r>
      <rPr>
        <sz val="9"/>
        <color rgb="FF000000"/>
        <rFont val="맑은 고딕"/>
        <family val="0"/>
        <charset val="1"/>
      </rPr>
      <t xml:space="preserve">+40%</t>
    </r>
  </si>
  <si>
    <t xml:space="preserve">대붕괴</t>
  </si>
  <si>
    <r>
      <rPr>
        <sz val="9"/>
        <color rgb="FF000000"/>
        <rFont val="Noto Sans CJK SC"/>
        <family val="2"/>
      </rPr>
      <t xml:space="preserve">쿨</t>
    </r>
    <r>
      <rPr>
        <sz val="9"/>
        <color rgb="FF000000"/>
        <rFont val="맑은 고딕"/>
        <family val="0"/>
        <charset val="1"/>
      </rPr>
      <t xml:space="preserve">140</t>
    </r>
    <r>
      <rPr>
        <sz val="9"/>
        <color rgb="FF000000"/>
        <rFont val="Noto Sans CJK SC"/>
        <family val="2"/>
      </rPr>
      <t xml:space="preserve">초</t>
    </r>
  </si>
  <si>
    <r>
      <rPr>
        <sz val="9"/>
        <color rgb="FF000000"/>
        <rFont val="Noto Sans CJK SC"/>
        <family val="2"/>
      </rPr>
      <t xml:space="preserve">초광역 기절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압살 피해</t>
    </r>
  </si>
  <si>
    <r>
      <rPr>
        <b val="true"/>
        <sz val="11"/>
        <color rgb="FFF4ECDD"/>
        <rFont val="Noto Sans CJK SC"/>
        <family val="2"/>
      </rPr>
      <t xml:space="preserve">◈ 버프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인챈트 </t>
    </r>
    <r>
      <rPr>
        <b val="true"/>
        <sz val="11"/>
        <color rgb="FFF4ECDD"/>
        <rFont val="맑은 고딕"/>
        <family val="0"/>
        <charset val="1"/>
      </rPr>
      <t xml:space="preserve">(Support)  —  </t>
    </r>
    <r>
      <rPr>
        <b val="true"/>
        <sz val="11"/>
        <color rgb="FFF4ECDD"/>
        <rFont val="Noto Sans CJK SC"/>
        <family val="2"/>
      </rPr>
      <t xml:space="preserve">아군 강화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보호막 — 승리를 설계하다</t>
    </r>
  </si>
  <si>
    <r>
      <rPr>
        <sz val="10"/>
        <color rgb="FF2E7D32"/>
        <rFont val="Noto Sans CJK SC"/>
        <family val="2"/>
      </rPr>
      <t xml:space="preserve">파티 전체 강화</t>
    </r>
    <r>
      <rPr>
        <sz val="10"/>
        <color rgb="FF2E7D32"/>
        <rFont val="맑은 고딕"/>
        <family val="0"/>
        <charset val="1"/>
      </rPr>
      <t xml:space="preserve">·</t>
    </r>
    <r>
      <rPr>
        <sz val="10"/>
        <color rgb="FF2E7D32"/>
        <rFont val="Noto Sans CJK SC"/>
        <family val="2"/>
      </rPr>
      <t xml:space="preserve">보호로 레이드 핵심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최고 유틸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생존 보조 탁월</t>
    </r>
  </si>
  <si>
    <r>
      <rPr>
        <sz val="10"/>
        <color rgb="FFC0392B"/>
        <rFont val="Noto Sans CJK SC"/>
        <family val="2"/>
      </rPr>
      <t xml:space="preserve">직접 딜 매우 약함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솔로 사냥 비효율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파티 의존적</t>
    </r>
  </si>
  <si>
    <t xml:space="preserve">마력 탄</t>
  </si>
  <si>
    <t xml:space="preserve">약한 단일 기본 딜</t>
  </si>
  <si>
    <r>
      <rPr>
        <sz val="9"/>
        <color rgb="FF000000"/>
        <rFont val="Noto Sans CJK SC"/>
        <family val="2"/>
      </rPr>
      <t xml:space="preserve">아군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인 흡수 보호막</t>
    </r>
  </si>
  <si>
    <t xml:space="preserve">신속</t>
  </si>
  <si>
    <r>
      <rPr>
        <sz val="9"/>
        <color rgb="FF000000"/>
        <rFont val="Noto Sans CJK SC"/>
        <family val="2"/>
      </rPr>
      <t xml:space="preserve">아군 이동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공격속도</t>
    </r>
    <r>
      <rPr>
        <sz val="9"/>
        <color rgb="FF000000"/>
        <rFont val="맑은 고딕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버프</t>
    </r>
  </si>
  <si>
    <t xml:space="preserve">가속</t>
  </si>
  <si>
    <r>
      <rPr>
        <sz val="9"/>
        <color rgb="FF000000"/>
        <rFont val="Noto Sans CJK SC"/>
        <family val="2"/>
      </rPr>
      <t xml:space="preserve">아군 시전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공속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광역 버프</t>
    </r>
  </si>
  <si>
    <t xml:space="preserve">정화</t>
  </si>
  <si>
    <t xml:space="preserve">아군 디버프 제거</t>
  </si>
  <si>
    <t xml:space="preserve">광역 축복</t>
  </si>
  <si>
    <r>
      <rPr>
        <sz val="9"/>
        <color rgb="FF000000"/>
        <rFont val="Noto Sans CJK SC"/>
        <family val="2"/>
      </rPr>
      <t xml:space="preserve">범위 내 전 아군 능력치</t>
    </r>
    <r>
      <rPr>
        <sz val="9"/>
        <color rgb="FF000000"/>
        <rFont val="맑은 고딕"/>
        <family val="0"/>
        <charset val="1"/>
      </rPr>
      <t xml:space="preserve">+ (</t>
    </r>
    <r>
      <rPr>
        <sz val="9"/>
        <color rgb="FF000000"/>
        <rFont val="Noto Sans CJK SC"/>
        <family val="2"/>
      </rPr>
      <t xml:space="preserve">범위 확장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</si>
  <si>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8A24B"/>
        <rFont val="Noto Sans CJK SC"/>
        <family val="2"/>
      </rPr>
      <t xml:space="preserve">지원술사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</si>
  <si>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모든 버프 지속시간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</t>
    </r>
    <r>
      <rPr>
        <sz val="9"/>
        <color rgb="FF000000"/>
        <rFont val="맑은 고딕"/>
        <family val="0"/>
        <charset val="1"/>
      </rPr>
      <t xml:space="preserve">+30%</t>
    </r>
  </si>
  <si>
    <t xml:space="preserve">재생의 오라</t>
  </si>
  <si>
    <r>
      <rPr>
        <sz val="9"/>
        <color rgb="FF000000"/>
        <rFont val="Noto Sans CJK SC"/>
        <family val="2"/>
      </rPr>
      <t xml:space="preserve">마나</t>
    </r>
    <r>
      <rPr>
        <sz val="9"/>
        <color rgb="FF000000"/>
        <rFont val="맑은 고딕"/>
        <family val="0"/>
        <charset val="1"/>
      </rPr>
      <t xml:space="preserve">10/</t>
    </r>
    <r>
      <rPr>
        <sz val="9"/>
        <color rgb="FF000000"/>
        <rFont val="Noto Sans CJK SC"/>
        <family val="2"/>
      </rPr>
      <t xml:space="preserve">초</t>
    </r>
  </si>
  <si>
    <t xml:space="preserve">주변 아군 지속 체력 회복</t>
  </si>
  <si>
    <t xml:space="preserve">불굴의 결계</t>
  </si>
  <si>
    <r>
      <rPr>
        <sz val="9"/>
        <color rgb="FF000000"/>
        <rFont val="Noto Sans CJK SC"/>
        <family val="2"/>
      </rPr>
      <t xml:space="preserve">광역 받는피해</t>
    </r>
    <r>
      <rPr>
        <sz val="9"/>
        <color rgb="FF000000"/>
        <rFont val="맑은 고딕"/>
        <family val="0"/>
        <charset val="1"/>
      </rPr>
      <t xml:space="preserve">-30% </t>
    </r>
    <r>
      <rPr>
        <sz val="9"/>
        <color rgb="FF000000"/>
        <rFont val="Noto Sans CJK SC"/>
        <family val="2"/>
      </rPr>
      <t xml:space="preserve">결계</t>
    </r>
  </si>
  <si>
    <r>
      <rPr>
        <b val="true"/>
        <sz val="10"/>
        <color rgb="FFC8A24B"/>
        <rFont val="Noto Sans CJK SC"/>
        <family val="2"/>
      </rPr>
      <t xml:space="preserve">결속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</si>
  <si>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t xml:space="preserve">단일 버프가 주변 아군에게도 전파</t>
  </si>
  <si>
    <t xml:space="preserve">영웅의 강림</t>
  </si>
  <si>
    <r>
      <rPr>
        <sz val="9"/>
        <color rgb="FF000000"/>
        <rFont val="Noto Sans CJK SC"/>
        <family val="2"/>
      </rPr>
      <t xml:space="preserve">전 아군 능력치 대폭</t>
    </r>
    <r>
      <rPr>
        <sz val="9"/>
        <color rgb="FF000000"/>
        <rFont val="맑은 고딕"/>
        <family val="0"/>
        <charset val="1"/>
      </rPr>
      <t xml:space="preserve">+ 8</t>
    </r>
    <r>
      <rPr>
        <sz val="9"/>
        <color rgb="FF000000"/>
        <rFont val="Noto Sans CJK SC"/>
        <family val="2"/>
      </rPr>
      <t xml:space="preserve">초 무적</t>
    </r>
  </si>
  <si>
    <r>
      <rPr>
        <b val="true"/>
        <sz val="11"/>
        <color rgb="FFF4ECDD"/>
        <rFont val="Noto Sans CJK SC"/>
        <family val="2"/>
      </rPr>
      <t xml:space="preserve">◈ 디버프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저주 </t>
    </r>
    <r>
      <rPr>
        <b val="true"/>
        <sz val="11"/>
        <color rgb="FFF4ECDD"/>
        <rFont val="맑은 고딕"/>
        <family val="0"/>
        <charset val="1"/>
      </rPr>
      <t xml:space="preserve">(Curse)  —  </t>
    </r>
    <r>
      <rPr>
        <b val="true"/>
        <sz val="11"/>
        <color rgb="FFF4ECDD"/>
        <rFont val="Noto Sans CJK SC"/>
        <family val="2"/>
      </rPr>
      <t xml:space="preserve">적 약화 </t>
    </r>
    <r>
      <rPr>
        <b val="true"/>
        <sz val="11"/>
        <color rgb="FFF4ECDD"/>
        <rFont val="맑은 고딕"/>
        <family val="0"/>
        <charset val="1"/>
      </rPr>
      <t xml:space="preserve">/ </t>
    </r>
    <r>
      <rPr>
        <b val="true"/>
        <sz val="11"/>
        <color rgb="FFF4ECDD"/>
        <rFont val="Noto Sans CJK SC"/>
        <family val="2"/>
      </rPr>
      <t xml:space="preserve">저주 </t>
    </r>
    <r>
      <rPr>
        <b val="true"/>
        <sz val="11"/>
        <color rgb="FFF4ECDD"/>
        <rFont val="맑은 고딕"/>
        <family val="0"/>
        <charset val="1"/>
      </rPr>
      <t xml:space="preserve">/ DoT — </t>
    </r>
    <r>
      <rPr>
        <b val="true"/>
        <sz val="11"/>
        <color rgb="FFF4ECDD"/>
        <rFont val="Noto Sans CJK SC"/>
        <family val="2"/>
      </rPr>
      <t xml:space="preserve">적을 무너뜨리다</t>
    </r>
  </si>
  <si>
    <r>
      <rPr>
        <sz val="10"/>
        <color rgb="FF2E7D32"/>
        <rFont val="Noto Sans CJK SC"/>
        <family val="2"/>
      </rPr>
      <t xml:space="preserve">적 약화로 파티 전체 딜 증폭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광역 </t>
    </r>
    <r>
      <rPr>
        <sz val="10"/>
        <color rgb="FF2E7D32"/>
        <rFont val="맑은 고딕"/>
        <family val="0"/>
        <charset val="1"/>
      </rPr>
      <t xml:space="preserve">DoT·</t>
    </r>
    <r>
      <rPr>
        <sz val="10"/>
        <color rgb="FF2E7D32"/>
        <rFont val="Noto Sans CJK SC"/>
        <family val="2"/>
      </rPr>
      <t xml:space="preserve">전염</t>
    </r>
    <r>
      <rPr>
        <sz val="10"/>
        <color rgb="FF2E7D32"/>
        <rFont val="맑은 고딕"/>
        <family val="0"/>
        <charset val="1"/>
      </rPr>
      <t xml:space="preserve">, </t>
    </r>
    <r>
      <rPr>
        <sz val="10"/>
        <color rgb="FF2E7D32"/>
        <rFont val="Noto Sans CJK SC"/>
        <family val="2"/>
      </rPr>
      <t xml:space="preserve">처형 연계 강력</t>
    </r>
  </si>
  <si>
    <r>
      <rPr>
        <sz val="10"/>
        <color rgb="FFC0392B"/>
        <rFont val="Noto Sans CJK SC"/>
        <family val="2"/>
      </rPr>
      <t xml:space="preserve">직접 딜 약함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디버프 셋업 시간 필요</t>
    </r>
    <r>
      <rPr>
        <sz val="10"/>
        <color rgb="FFC0392B"/>
        <rFont val="맑은 고딕"/>
        <family val="0"/>
        <charset val="1"/>
      </rPr>
      <t xml:space="preserve">, </t>
    </r>
    <r>
      <rPr>
        <sz val="10"/>
        <color rgb="FFC0392B"/>
        <rFont val="Noto Sans CJK SC"/>
        <family val="2"/>
      </rPr>
      <t xml:space="preserve">즉발 화력 부족</t>
    </r>
  </si>
  <si>
    <t xml:space="preserve">약화 저주</t>
  </si>
  <si>
    <r>
      <rPr>
        <sz val="9"/>
        <color rgb="FF000000"/>
        <rFont val="Noto Sans CJK SC"/>
        <family val="2"/>
      </rPr>
      <t xml:space="preserve">대상 가하는 데미지</t>
    </r>
    <r>
      <rPr>
        <sz val="9"/>
        <color rgb="FF000000"/>
        <rFont val="맑은 고딕"/>
        <family val="0"/>
        <charset val="1"/>
      </rPr>
      <t xml:space="preserve">-25%</t>
    </r>
  </si>
  <si>
    <t xml:space="preserve">쇠약</t>
  </si>
  <si>
    <r>
      <rPr>
        <sz val="9"/>
        <color rgb="FF000000"/>
        <rFont val="Noto Sans CJK SC"/>
        <family val="2"/>
      </rPr>
      <t xml:space="preserve">대상 받는 데미지</t>
    </r>
    <r>
      <rPr>
        <sz val="9"/>
        <color rgb="FF000000"/>
        <rFont val="맑은 고딕"/>
        <family val="0"/>
        <charset val="1"/>
      </rPr>
      <t xml:space="preserve">+15%</t>
    </r>
  </si>
  <si>
    <t xml:space="preserve">침묵</t>
  </si>
  <si>
    <t xml:space="preserve">대상 스킬 사용 봉인</t>
  </si>
  <si>
    <r>
      <rPr>
        <sz val="9"/>
        <color rgb="FF000000"/>
        <rFont val="Noto Sans CJK SC"/>
        <family val="2"/>
      </rPr>
      <t xml:space="preserve">광역 </t>
    </r>
    <r>
      <rPr>
        <sz val="9"/>
        <color rgb="FF000000"/>
        <rFont val="맑은 고딕"/>
        <family val="0"/>
        <charset val="1"/>
      </rPr>
      <t xml:space="preserve">DoT + </t>
    </r>
    <r>
      <rPr>
        <sz val="9"/>
        <color rgb="FF000000"/>
        <rFont val="Noto Sans CJK SC"/>
        <family val="2"/>
      </rPr>
      <t xml:space="preserve">인접 전염</t>
    </r>
  </si>
  <si>
    <t xml:space="preserve">광역 저주</t>
  </si>
  <si>
    <r>
      <rPr>
        <sz val="9"/>
        <color rgb="FF000000"/>
        <rFont val="Noto Sans CJK SC"/>
        <family val="2"/>
      </rPr>
      <t xml:space="preserve">범위 내 전 적에게 저주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범위 확장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</si>
  <si>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8A24B"/>
        <rFont val="Noto Sans CJK SC"/>
        <family val="2"/>
      </rPr>
      <t xml:space="preserve">흑마법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</si>
  <si>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모든 디버프 지속시간</t>
    </r>
    <r>
      <rPr>
        <sz val="9"/>
        <color rgb="FF000000"/>
        <rFont val="맑은 고딕"/>
        <family val="0"/>
        <charset val="1"/>
      </rPr>
      <t xml:space="preserve">+40%</t>
    </r>
  </si>
  <si>
    <t xml:space="preserve">절망</t>
  </si>
  <si>
    <r>
      <rPr>
        <sz val="9"/>
        <color rgb="FF000000"/>
        <rFont val="Noto Sans CJK SC"/>
        <family val="2"/>
      </rPr>
      <t xml:space="preserve">광역 방어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저항</t>
    </r>
    <r>
      <rPr>
        <sz val="9"/>
        <color rgb="FF000000"/>
        <rFont val="맑은 고딕"/>
        <family val="0"/>
        <charset val="1"/>
      </rPr>
      <t xml:space="preserve">-30%</t>
    </r>
  </si>
  <si>
    <t xml:space="preserve">죽음의 표식</t>
  </si>
  <si>
    <r>
      <rPr>
        <sz val="9"/>
        <color rgb="FF000000"/>
        <rFont val="Noto Sans CJK SC"/>
        <family val="2"/>
      </rPr>
      <t xml:space="preserve">대상 받는피해</t>
    </r>
    <r>
      <rPr>
        <sz val="9"/>
        <color rgb="FF000000"/>
        <rFont val="맑은 고딕"/>
        <family val="0"/>
        <charset val="1"/>
      </rPr>
      <t xml:space="preserve">+30%, </t>
    </r>
    <r>
      <rPr>
        <sz val="9"/>
        <color rgb="FF000000"/>
        <rFont val="Noto Sans CJK SC"/>
        <family val="2"/>
      </rPr>
      <t xml:space="preserve">처형 연계</t>
    </r>
  </si>
  <si>
    <r>
      <rPr>
        <b val="true"/>
        <sz val="10"/>
        <color rgb="FFC8A24B"/>
        <rFont val="Noto Sans CJK SC"/>
        <family val="2"/>
      </rPr>
      <t xml:space="preserve">저주 중첩 </t>
    </r>
    <r>
      <rPr>
        <b val="true"/>
        <sz val="10"/>
        <color rgb="FFC8A24B"/>
        <rFont val="맑은 고딕"/>
        <family val="0"/>
        <charset val="1"/>
      </rPr>
      <t xml:space="preserve">[</t>
    </r>
    <r>
      <rPr>
        <b val="true"/>
        <sz val="10"/>
        <color rgb="FFC8A24B"/>
        <rFont val="Noto Sans CJK SC"/>
        <family val="2"/>
      </rPr>
      <t xml:space="preserve">패시브</t>
    </r>
    <r>
      <rPr>
        <b val="true"/>
        <sz val="10"/>
        <color rgb="FFC8A24B"/>
        <rFont val="맑은 고딕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</si>
  <si>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동일 디버프 중첩 가능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효과 강화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</si>
  <si>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종말의 저주</t>
  </si>
  <si>
    <r>
      <rPr>
        <b val="true"/>
        <sz val="9"/>
        <color rgb="FF000000"/>
        <rFont val="맑은 고딕"/>
        <family val="0"/>
        <charset val="1"/>
      </rPr>
      <t xml:space="preserve">1.50/</t>
    </r>
    <r>
      <rPr>
        <b val="true"/>
        <sz val="9"/>
        <color rgb="FF000000"/>
        <rFont val="Noto Sans CJK SC"/>
        <family val="2"/>
      </rPr>
      <t xml:space="preserve">틱</t>
    </r>
  </si>
  <si>
    <r>
      <rPr>
        <sz val="9"/>
        <color rgb="FF000000"/>
        <rFont val="Noto Sans CJK SC"/>
        <family val="2"/>
      </rPr>
      <t xml:space="preserve">맵 광역 약화</t>
    </r>
    <r>
      <rPr>
        <sz val="9"/>
        <color rgb="FF000000"/>
        <rFont val="맑은 고딕"/>
        <family val="0"/>
        <charset val="1"/>
      </rPr>
      <t xml:space="preserve">+DoT+</t>
    </r>
    <r>
      <rPr>
        <sz val="9"/>
        <color rgb="FF000000"/>
        <rFont val="Noto Sans CJK SC"/>
        <family val="2"/>
      </rPr>
      <t xml:space="preserve">저체력 처형</t>
    </r>
  </si>
  <si>
    <r>
      <rPr>
        <sz val="9"/>
        <color rgb="FF8A6D3B"/>
        <rFont val="Noto Sans CJK SC"/>
        <family val="2"/>
      </rPr>
      <t xml:space="preserve">🔆 중요  원소별 정체성 요약</t>
    </r>
    <r>
      <rPr>
        <sz val="9"/>
        <color rgb="FF8A6D3B"/>
        <rFont val="맑은 고딕"/>
        <family val="0"/>
        <charset val="1"/>
      </rPr>
      <t xml:space="preserve">: </t>
    </r>
    <r>
      <rPr>
        <sz val="9"/>
        <color rgb="FF8A6D3B"/>
        <rFont val="Noto Sans CJK SC"/>
        <family val="2"/>
      </rPr>
      <t xml:space="preserve">불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폭딜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스플래시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얼음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이동제한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제어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번개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연쇄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즉발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물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지속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회복보조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바람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기동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넉백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땅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방어</t>
    </r>
    <r>
      <rPr>
        <sz val="9"/>
        <color rgb="FF8A6D3B"/>
        <rFont val="맑은 고딕"/>
        <family val="0"/>
        <charset val="1"/>
      </rPr>
      <t xml:space="preserve">/</t>
    </r>
    <r>
      <rPr>
        <sz val="9"/>
        <color rgb="FF8A6D3B"/>
        <rFont val="Noto Sans CJK SC"/>
        <family val="2"/>
      </rPr>
      <t xml:space="preserve">기절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버프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아군강화</t>
    </r>
    <r>
      <rPr>
        <sz val="9"/>
        <color rgb="FF8A6D3B"/>
        <rFont val="맑은 고딕"/>
        <family val="0"/>
        <charset val="1"/>
      </rPr>
      <t xml:space="preserve">, </t>
    </r>
    <r>
      <rPr>
        <sz val="9"/>
        <color rgb="FF8A6D3B"/>
        <rFont val="Noto Sans CJK SC"/>
        <family val="2"/>
      </rPr>
      <t xml:space="preserve">디버프</t>
    </r>
    <r>
      <rPr>
        <sz val="9"/>
        <color rgb="FF8A6D3B"/>
        <rFont val="맑은 고딕"/>
        <family val="0"/>
        <charset val="1"/>
      </rPr>
      <t xml:space="preserve">=</t>
    </r>
    <r>
      <rPr>
        <sz val="9"/>
        <color rgb="FF8A6D3B"/>
        <rFont val="Noto Sans CJK SC"/>
        <family val="2"/>
      </rPr>
      <t xml:space="preserve">적약화</t>
    </r>
    <r>
      <rPr>
        <sz val="9"/>
        <color rgb="FF8A6D3B"/>
        <rFont val="맑은 고딕"/>
        <family val="0"/>
        <charset val="1"/>
      </rPr>
      <t xml:space="preserve">. 30Lv </t>
    </r>
    <r>
      <rPr>
        <sz val="9"/>
        <color rgb="FF8A6D3B"/>
        <rFont val="Noto Sans CJK SC"/>
        <family val="2"/>
      </rPr>
      <t xml:space="preserve">전후 특색 스킬에서 범위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지속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연쇄가 확장됩니다</t>
    </r>
    <r>
      <rPr>
        <sz val="9"/>
        <color rgb="FF8A6D3B"/>
        <rFont val="맑은 고딕"/>
        <family val="0"/>
        <charset val="1"/>
      </rPr>
      <t xml:space="preserve">.</t>
    </r>
  </si>
  <si>
    <r>
      <rPr>
        <sz val="9"/>
        <color rgb="FF8A6D3B"/>
        <rFont val="맑은 고딕"/>
        <family val="0"/>
        <charset val="1"/>
      </rPr>
      <t xml:space="preserve">💡 TIP  '/</t>
    </r>
    <r>
      <rPr>
        <sz val="9"/>
        <color rgb="FF8A6D3B"/>
        <rFont val="Noto Sans CJK SC"/>
        <family val="2"/>
      </rPr>
      <t xml:space="preserve">틱</t>
    </r>
    <r>
      <rPr>
        <sz val="9"/>
        <color rgb="FF8A6D3B"/>
        <rFont val="맑은 고딕"/>
        <family val="0"/>
        <charset val="1"/>
      </rPr>
      <t xml:space="preserve">'(per tick) </t>
    </r>
    <r>
      <rPr>
        <sz val="9"/>
        <color rgb="FF8A6D3B"/>
        <rFont val="Noto Sans CJK SC"/>
        <family val="2"/>
      </rPr>
      <t xml:space="preserve">계수는 지속</t>
    </r>
    <r>
      <rPr>
        <sz val="9"/>
        <color rgb="FF8A6D3B"/>
        <rFont val="맑은 고딕"/>
        <family val="0"/>
        <charset val="1"/>
      </rPr>
      <t xml:space="preserve">·</t>
    </r>
    <r>
      <rPr>
        <sz val="9"/>
        <color rgb="FF8A6D3B"/>
        <rFont val="Noto Sans CJK SC"/>
        <family val="2"/>
      </rPr>
      <t xml:space="preserve">채널링 스킬의 초당</t>
    </r>
    <r>
      <rPr>
        <sz val="9"/>
        <color rgb="FF8A6D3B"/>
        <rFont val="맑은 고딕"/>
        <family val="0"/>
        <charset val="1"/>
      </rPr>
      <t xml:space="preserve">(</t>
    </r>
    <r>
      <rPr>
        <sz val="9"/>
        <color rgb="FF8A6D3B"/>
        <rFont val="Noto Sans CJK SC"/>
        <family val="2"/>
      </rPr>
      <t xml:space="preserve">또는 틱당</t>
    </r>
    <r>
      <rPr>
        <sz val="9"/>
        <color rgb="FF8A6D3B"/>
        <rFont val="맑은 고딕"/>
        <family val="0"/>
        <charset val="1"/>
      </rPr>
      <t xml:space="preserve">) </t>
    </r>
    <r>
      <rPr>
        <sz val="9"/>
        <color rgb="FF8A6D3B"/>
        <rFont val="Noto Sans CJK SC"/>
        <family val="2"/>
      </rPr>
      <t xml:space="preserve">데미지입니다</t>
    </r>
    <r>
      <rPr>
        <sz val="9"/>
        <color rgb="FF8A6D3B"/>
        <rFont val="맑은 고딕"/>
        <family val="0"/>
        <charset val="1"/>
      </rPr>
      <t xml:space="preserve">. </t>
    </r>
    <r>
      <rPr>
        <sz val="9"/>
        <color rgb="FF8A6D3B"/>
        <rFont val="Noto Sans CJK SC"/>
        <family val="2"/>
      </rPr>
      <t xml:space="preserve">총 데미지 </t>
    </r>
    <r>
      <rPr>
        <sz val="9"/>
        <color rgb="FF8A6D3B"/>
        <rFont val="맑은 고딕"/>
        <family val="0"/>
        <charset val="1"/>
      </rPr>
      <t xml:space="preserve">= </t>
    </r>
    <r>
      <rPr>
        <sz val="9"/>
        <color rgb="FF8A6D3B"/>
        <rFont val="Noto Sans CJK SC"/>
        <family val="2"/>
      </rPr>
      <t xml:space="preserve">틱계수 </t>
    </r>
    <r>
      <rPr>
        <sz val="9"/>
        <color rgb="FF8A6D3B"/>
        <rFont val="맑은 고딕"/>
        <family val="0"/>
        <charset val="1"/>
      </rPr>
      <t xml:space="preserve">× </t>
    </r>
    <r>
      <rPr>
        <sz val="9"/>
        <color rgb="FF8A6D3B"/>
        <rFont val="Noto Sans CJK SC"/>
        <family val="2"/>
      </rPr>
      <t xml:space="preserve">지속시간 </t>
    </r>
    <r>
      <rPr>
        <sz val="9"/>
        <color rgb="FF8A6D3B"/>
        <rFont val="맑은 고딕"/>
        <family val="0"/>
        <charset val="1"/>
      </rPr>
      <t xml:space="preserve">× </t>
    </r>
    <r>
      <rPr>
        <sz val="9"/>
        <color rgb="FF8A6D3B"/>
        <rFont val="Noto Sans CJK SC"/>
        <family val="2"/>
      </rPr>
      <t xml:space="preserve">초당틱수로 환산해 단발기와 비교하세요</t>
    </r>
    <r>
      <rPr>
        <sz val="9"/>
        <color rgb="FF8A6D3B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</si>
</sst>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0.00\배"/>
    <numFmt numFmtId="168" formatCode="0.00"/>
    <numFmt numFmtId="169" formatCode="#,##0.0"/>
    <numFmt numFmtId="170" formatCode="0.000\배"/>
    <numFmt numFmtId="171" formatCode="0.0\배"/>
    <numFmt numFmtId="172" formatCode="0.0"/>
    <numFmt numFmtId="173" formatCode="0.000"/>
    <numFmt numFmtId="174" formatCode="#,##0.0\배"/>
    <numFmt numFmtId="175" formatCode="0.00\배"/>
    <numFmt numFmtId="176" formatCode="\+0.0%;\-0.0%"/>
    <numFmt numFmtId="177" formatCode="0"/>
  </numFmts>
  <fonts count="6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24B"/>
      <name val="맑은 고딕"/>
      <family val="0"/>
      <charset val="1"/>
    </font>
    <font>
      <b val="true"/>
      <sz val="16"/>
      <color rgb="FFC8A24B"/>
      <name val="Noto Sans CJK SC"/>
      <family val="2"/>
    </font>
    <font>
      <i val="true"/>
      <sz val="9"/>
      <color rgb="FF6B5A40"/>
      <name val="맑은 고딕"/>
      <family val="0"/>
      <charset val="1"/>
    </font>
    <font>
      <i val="true"/>
      <sz val="9"/>
      <color rgb="FF6B5A40"/>
      <name val="Noto Sans CJK SC"/>
      <family val="2"/>
    </font>
    <font>
      <b val="true"/>
      <sz val="10"/>
      <color rgb="FFF4ECDD"/>
      <name val="Noto Sans CJK SC"/>
      <family val="2"/>
      <charset val="1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2"/>
      <color rgb="FFC8A24B"/>
      <name val="Noto Sans CJK SC"/>
      <family val="2"/>
      <charset val="1"/>
    </font>
    <font>
      <b val="true"/>
      <sz val="10"/>
      <color rgb="FFF4ECDD"/>
      <name val="맑은 고딕"/>
      <family val="0"/>
      <charset val="1"/>
    </font>
    <font>
      <b val="true"/>
      <sz val="10"/>
      <color rgb="FF000000"/>
      <name val="Noto Sans CJK SC"/>
      <family val="2"/>
      <charset val="1"/>
    </font>
    <font>
      <sz val="10"/>
      <color rgb="FF8A6D3B"/>
      <name val="Noto Sans CJK SC"/>
      <family val="2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8A6D3B"/>
      <name val="Noto Sans CJK SC"/>
      <family val="2"/>
    </font>
    <font>
      <sz val="9"/>
      <color rgb="FF8A6D3B"/>
      <name val="맑은 고딕"/>
      <family val="0"/>
      <charset val="1"/>
    </font>
    <font>
      <sz val="9"/>
      <color rgb="FF8A6D3B"/>
      <name val="Noto Sans CJK SC"/>
      <family val="2"/>
    </font>
    <font>
      <sz val="9"/>
      <color rgb="FF8A6D3B"/>
      <name val="Noto Sans CJK SC"/>
      <family val="2"/>
      <charset val="1"/>
    </font>
    <font>
      <b val="true"/>
      <sz val="11"/>
      <color rgb="FFF4ECDD"/>
      <name val="맑은 고딕"/>
      <family val="0"/>
      <charset val="1"/>
    </font>
    <font>
      <b val="true"/>
      <sz val="11"/>
      <color rgb="FFF4ECDD"/>
      <name val="Noto Sans CJK SC"/>
      <family val="2"/>
    </font>
    <font>
      <b val="true"/>
      <sz val="10"/>
      <color rgb="FFF4ECDD"/>
      <name val="Noto Sans CJK SC"/>
      <family val="2"/>
    </font>
    <font>
      <b val="true"/>
      <sz val="10"/>
      <color rgb="FFC8A24B"/>
      <name val="Noto Sans CJK SC"/>
      <family val="2"/>
      <charset val="1"/>
    </font>
    <font>
      <sz val="10"/>
      <color rgb="FF0000FF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6B5A40"/>
      <name val="Noto Sans CJK SC"/>
      <family val="2"/>
      <charset val="1"/>
    </font>
    <font>
      <sz val="10"/>
      <color rgb="FF8A6D3B"/>
      <name val="맑은 고딕"/>
      <family val="0"/>
      <charset val="1"/>
    </font>
    <font>
      <b val="true"/>
      <sz val="10"/>
      <color rgb="FFC8A24B"/>
      <name val="맑은 고딕"/>
      <family val="0"/>
      <charset val="1"/>
    </font>
    <font>
      <b val="true"/>
      <sz val="10"/>
      <color rgb="FFC0392B"/>
      <name val="맑은 고딕"/>
      <family val="0"/>
      <charset val="1"/>
    </font>
    <font>
      <b val="true"/>
      <sz val="10"/>
      <color rgb="FFC0392B"/>
      <name val="Noto Sans CJK SC"/>
      <family val="2"/>
      <charset val="1"/>
    </font>
    <font>
      <b val="true"/>
      <sz val="10"/>
      <color rgb="FF2FA84F"/>
      <name val="Noto Sans CJK SC"/>
      <family val="2"/>
      <charset val="1"/>
    </font>
    <font>
      <b val="true"/>
      <sz val="10"/>
      <color rgb="FF9D9D9D"/>
      <name val="Noto Sans CJK SC"/>
      <family val="2"/>
      <charset val="1"/>
    </font>
    <font>
      <sz val="10"/>
      <color rgb="FF9D9D9D"/>
      <name val="맑은 고딕"/>
      <family val="0"/>
      <charset val="1"/>
    </font>
    <font>
      <b val="true"/>
      <sz val="10"/>
      <color rgb="FF4A6CD4"/>
      <name val="Noto Sans CJK SC"/>
      <family val="2"/>
      <charset val="1"/>
    </font>
    <font>
      <sz val="10"/>
      <color rgb="FF4A6CD4"/>
      <name val="맑은 고딕"/>
      <family val="0"/>
      <charset val="1"/>
    </font>
    <font>
      <b val="true"/>
      <sz val="10"/>
      <color rgb="FFBFA600"/>
      <name val="Noto Sans CJK SC"/>
      <family val="2"/>
      <charset val="1"/>
    </font>
    <font>
      <sz val="10"/>
      <color rgb="FFBFA600"/>
      <name val="맑은 고딕"/>
      <family val="0"/>
      <charset val="1"/>
    </font>
    <font>
      <b val="true"/>
      <sz val="10"/>
      <color rgb="FFC8732B"/>
      <name val="Noto Sans CJK SC"/>
      <family val="2"/>
      <charset val="1"/>
    </font>
    <font>
      <sz val="10"/>
      <color rgb="FFC8732B"/>
      <name val="맑은 고딕"/>
      <family val="0"/>
      <charset val="1"/>
    </font>
    <font>
      <sz val="10"/>
      <color rgb="FF2FA84F"/>
      <name val="맑은 고딕"/>
      <family val="0"/>
      <charset val="1"/>
    </font>
    <font>
      <b val="true"/>
      <sz val="10"/>
      <color rgb="FFB36A1F"/>
      <name val="Noto Sans CJK SC"/>
      <family val="2"/>
      <charset val="1"/>
    </font>
    <font>
      <sz val="10"/>
      <color rgb="FFB36A1F"/>
      <name val="맑은 고딕"/>
      <family val="0"/>
      <charset val="1"/>
    </font>
    <font>
      <sz val="10"/>
      <color rgb="FFC0392B"/>
      <name val="맑은 고딕"/>
      <family val="0"/>
      <charset val="1"/>
    </font>
    <font>
      <b val="true"/>
      <sz val="10"/>
      <color rgb="FFC8A24B"/>
      <name val="Noto Sans CJK SC"/>
      <family val="2"/>
    </font>
    <font>
      <b val="true"/>
      <sz val="10"/>
      <color rgb="FFC8732B"/>
      <name val="맑은 고딕"/>
      <family val="0"/>
      <charset val="1"/>
    </font>
    <font>
      <b val="true"/>
      <sz val="10"/>
      <color rgb="FF4A6CD4"/>
      <name val="Noto Sans CJK SC"/>
      <family val="2"/>
    </font>
    <font>
      <b val="true"/>
      <sz val="10"/>
      <color rgb="FFC0392B"/>
      <name val="Noto Sans CJK SC"/>
      <family val="2"/>
    </font>
    <font>
      <b val="true"/>
      <sz val="10"/>
      <color rgb="FF2FA84F"/>
      <name val="Noto Sans CJK SC"/>
      <family val="2"/>
    </font>
    <font>
      <b val="true"/>
      <sz val="10"/>
      <color rgb="FF5B8DB8"/>
      <name val="Noto Sans CJK SC"/>
      <family val="2"/>
    </font>
    <font>
      <b val="true"/>
      <sz val="10"/>
      <color rgb="FFC8732B"/>
      <name val="Noto Sans CJK SC"/>
      <family val="2"/>
    </font>
    <font>
      <b val="true"/>
      <sz val="10"/>
      <color rgb="FF8E44AD"/>
      <name val="Noto Sans CJK SC"/>
      <family val="2"/>
    </font>
    <font>
      <sz val="9"/>
      <color rgb="FF000000"/>
      <name val="Noto Sans CJK SC"/>
      <family val="2"/>
    </font>
    <font>
      <sz val="9"/>
      <color rgb="FF000000"/>
      <name val="맑은 고딕"/>
      <family val="0"/>
      <charset val="1"/>
    </font>
    <font>
      <b val="true"/>
      <sz val="10"/>
      <color rgb="FF2E7D32"/>
      <name val="Noto Sans CJK SC"/>
      <family val="2"/>
    </font>
    <font>
      <b val="true"/>
      <sz val="10"/>
      <color rgb="FF8A6D3B"/>
      <name val="Noto Sans CJK SC"/>
      <family val="2"/>
    </font>
    <font>
      <b val="true"/>
      <sz val="10"/>
      <color rgb="FF8A6D3B"/>
      <name val="맑은 고딕"/>
      <family val="0"/>
      <charset val="1"/>
    </font>
    <font>
      <sz val="10"/>
      <color rgb="FF2E7D32"/>
      <name val="Noto Sans CJK SC"/>
      <family val="2"/>
    </font>
    <font>
      <sz val="10"/>
      <color rgb="FF2E7D32"/>
      <name val="맑은 고딕"/>
      <family val="0"/>
      <charset val="1"/>
    </font>
    <font>
      <sz val="10"/>
      <color rgb="FFC0392B"/>
      <name val="Noto Sans CJK SC"/>
      <family val="2"/>
    </font>
    <font>
      <b val="true"/>
      <sz val="10"/>
      <color rgb="FF7A6A4F"/>
      <name val="Noto Sans CJK SC"/>
      <family val="2"/>
    </font>
    <font>
      <b val="true"/>
      <sz val="9"/>
      <color rgb="FF000000"/>
      <name val="맑은 고딕"/>
      <family val="0"/>
      <charset val="1"/>
    </font>
    <font>
      <b val="true"/>
      <sz val="9"/>
      <color rgb="FF00000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2B1D12"/>
        <bgColor rgb="FF1C1410"/>
      </patternFill>
    </fill>
    <fill>
      <patternFill patternType="solid">
        <fgColor rgb="FF3A2A1A"/>
        <bgColor rgb="FF2B1D12"/>
      </patternFill>
    </fill>
    <fill>
      <patternFill patternType="solid">
        <fgColor rgb="FF1C1410"/>
        <bgColor rgb="FF2B1D12"/>
      </patternFill>
    </fill>
    <fill>
      <patternFill patternType="solid">
        <fgColor rgb="FFFBF7EF"/>
        <bgColor rgb="FFF4ECDD"/>
      </patternFill>
    </fill>
    <fill>
      <patternFill patternType="solid">
        <fgColor rgb="FFF4ECDD"/>
        <bgColor rgb="FFFFF2CC"/>
      </patternFill>
    </fill>
    <fill>
      <patternFill patternType="solid">
        <fgColor rgb="FFFFF2CC"/>
        <bgColor rgb="FFF4ECDD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9BFAE"/>
      </left>
      <right style="thin">
        <color rgb="FFC9BFAE"/>
      </right>
      <top style="thin">
        <color rgb="FFC9BFAE"/>
      </top>
      <bottom style="thin">
        <color rgb="FFC9BFAE"/>
      </bottom>
      <diagonal/>
    </border>
    <border diagonalUp="false" diagonalDown="false">
      <left style="medium">
        <color rgb="FF7A6A4F"/>
      </left>
      <right style="medium">
        <color rgb="FF7A6A4F"/>
      </right>
      <top style="medium">
        <color rgb="FF7A6A4F"/>
      </top>
      <bottom style="medium">
        <color rgb="FF7A6A4F"/>
      </bottom>
      <diagonal/>
    </border>
    <border diagonalUp="false" diagonalDown="false">
      <left/>
      <right style="thin">
        <color rgb="FFC9BFAE"/>
      </right>
      <top/>
      <bottom style="thin">
        <color rgb="FFC9BFAE"/>
      </bottom>
      <diagonal/>
    </border>
    <border diagonalUp="false" diagonalDown="false">
      <left/>
      <right/>
      <top style="thin">
        <color rgb="FFC9BFAE"/>
      </top>
      <bottom style="thin">
        <color rgb="FFC9BFAE"/>
      </bottom>
      <diagonal/>
    </border>
    <border diagonalUp="false" diagonalDown="false">
      <left/>
      <right style="thin">
        <color rgb="FFC9BFAE"/>
      </right>
      <top style="thin">
        <color rgb="FFC9BFAE"/>
      </top>
      <bottom style="thin">
        <color rgb="FFC9BFAE"/>
      </bottom>
      <diagonal/>
    </border>
    <border diagonalUp="false" diagonalDown="false">
      <left style="thin">
        <color rgb="FFC9BFAE"/>
      </left>
      <right/>
      <top style="thin">
        <color rgb="FFC9BFAE"/>
      </top>
      <bottom style="thin">
        <color rgb="FFC9BF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3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F7E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A6D3B"/>
      <rgbColor rgb="FF800080"/>
      <rgbColor rgb="FF008080"/>
      <rgbColor rgb="FFC9BFAE"/>
      <rgbColor rgb="FF7A6A4F"/>
      <rgbColor rgb="FF5B8DB8"/>
      <rgbColor rgb="FF8E44AD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CDD"/>
      <rgbColor rgb="FFFFFF99"/>
      <rgbColor rgb="FF99CCFF"/>
      <rgbColor rgb="FFFF99CC"/>
      <rgbColor rgb="FFCC99FF"/>
      <rgbColor rgb="FFFFCC99"/>
      <rgbColor rgb="FF4A6CD4"/>
      <rgbColor rgb="FF33CCCC"/>
      <rgbColor rgb="FFBFA600"/>
      <rgbColor rgb="FFFFCC00"/>
      <rgbColor rgb="FFC8A24B"/>
      <rgbColor rgb="FFC8732B"/>
      <rgbColor rgb="FF6B5A40"/>
      <rgbColor rgb="FF9D9D9D"/>
      <rgbColor rgb="FF003366"/>
      <rgbColor rgb="FF2FA84F"/>
      <rgbColor rgb="FF1C1410"/>
      <rgbColor rgb="FF2B1D12"/>
      <rgbColor rgb="FFC0392B"/>
      <rgbColor rgb="FFB36A1F"/>
      <rgbColor rgb="FF333399"/>
      <rgbColor rgb="FF3A2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4B"/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1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B4" s="4" t="s">
        <v>2</v>
      </c>
      <c r="C4" s="5" t="s">
        <v>3</v>
      </c>
      <c r="D4" s="5"/>
      <c r="E4" s="5"/>
    </row>
    <row r="5" customFormat="false" ht="15" hidden="false" customHeight="true" outlineLevel="0" collapsed="false">
      <c r="B5" s="4" t="s">
        <v>4</v>
      </c>
      <c r="C5" s="5" t="s">
        <v>5</v>
      </c>
      <c r="D5" s="5"/>
      <c r="E5" s="5"/>
    </row>
    <row r="6" customFormat="false" ht="15" hidden="false" customHeight="true" outlineLevel="0" collapsed="false">
      <c r="B6" s="4" t="s">
        <v>6</v>
      </c>
      <c r="C6" s="5" t="s">
        <v>7</v>
      </c>
      <c r="D6" s="5"/>
      <c r="E6" s="5"/>
    </row>
    <row r="7" customFormat="false" ht="15" hidden="false" customHeight="true" outlineLevel="0" collapsed="false">
      <c r="B7" s="4" t="s">
        <v>8</v>
      </c>
      <c r="C7" s="5" t="s">
        <v>9</v>
      </c>
      <c r="D7" s="5"/>
      <c r="E7" s="5"/>
    </row>
    <row r="8" customFormat="false" ht="15" hidden="false" customHeight="true" outlineLevel="0" collapsed="false">
      <c r="B8" s="4" t="s">
        <v>10</v>
      </c>
      <c r="C8" s="5" t="s">
        <v>11</v>
      </c>
      <c r="D8" s="5"/>
      <c r="E8" s="5"/>
    </row>
    <row r="9" customFormat="false" ht="15" hidden="false" customHeight="true" outlineLevel="0" collapsed="false">
      <c r="B9" s="4" t="s">
        <v>12</v>
      </c>
      <c r="C9" s="6" t="s">
        <v>13</v>
      </c>
      <c r="D9" s="6"/>
      <c r="E9" s="6"/>
    </row>
    <row r="11" customFormat="false" ht="15" hidden="false" customHeight="true" outlineLevel="0" collapsed="false">
      <c r="B11" s="7" t="s">
        <v>14</v>
      </c>
      <c r="C11" s="7"/>
      <c r="D11" s="7"/>
      <c r="E11" s="7"/>
    </row>
    <row r="12" customFormat="false" ht="25.5" hidden="false" customHeight="true" outlineLevel="0" collapsed="false">
      <c r="B12" s="8" t="s">
        <v>15</v>
      </c>
      <c r="C12" s="9" t="s">
        <v>16</v>
      </c>
      <c r="D12" s="9" t="s">
        <v>17</v>
      </c>
      <c r="E12" s="9" t="s">
        <v>18</v>
      </c>
    </row>
    <row r="13" customFormat="false" ht="15" hidden="false" customHeight="true" outlineLevel="0" collapsed="false">
      <c r="B13" s="10" t="s">
        <v>19</v>
      </c>
      <c r="C13" s="11" t="s">
        <v>20</v>
      </c>
      <c r="D13" s="12" t="s">
        <v>21</v>
      </c>
      <c r="E13" s="13" t="s">
        <v>22</v>
      </c>
    </row>
    <row r="14" customFormat="false" ht="15" hidden="false" customHeight="true" outlineLevel="0" collapsed="false">
      <c r="B14" s="14" t="s">
        <v>23</v>
      </c>
      <c r="C14" s="15" t="s">
        <v>24</v>
      </c>
      <c r="D14" s="16" t="s">
        <v>25</v>
      </c>
      <c r="E14" s="17" t="s">
        <v>26</v>
      </c>
    </row>
    <row r="15" customFormat="false" ht="15" hidden="false" customHeight="true" outlineLevel="0" collapsed="false">
      <c r="B15" s="10" t="s">
        <v>27</v>
      </c>
      <c r="C15" s="18" t="s">
        <v>28</v>
      </c>
      <c r="D15" s="12" t="s">
        <v>29</v>
      </c>
      <c r="E15" s="13" t="s">
        <v>30</v>
      </c>
    </row>
    <row r="16" customFormat="false" ht="15" hidden="false" customHeight="true" outlineLevel="0" collapsed="false">
      <c r="B16" s="14" t="s">
        <v>31</v>
      </c>
      <c r="C16" s="15" t="s">
        <v>32</v>
      </c>
      <c r="D16" s="19" t="s">
        <v>33</v>
      </c>
      <c r="E16" s="17" t="s">
        <v>30</v>
      </c>
    </row>
    <row r="17" customFormat="false" ht="15" hidden="false" customHeight="true" outlineLevel="0" collapsed="false">
      <c r="B17" s="10" t="s">
        <v>34</v>
      </c>
      <c r="C17" s="18" t="s">
        <v>35</v>
      </c>
      <c r="D17" s="12" t="s">
        <v>36</v>
      </c>
      <c r="E17" s="13" t="s">
        <v>26</v>
      </c>
    </row>
    <row r="18" customFormat="false" ht="15" hidden="false" customHeight="true" outlineLevel="0" collapsed="false">
      <c r="B18" s="14" t="s">
        <v>37</v>
      </c>
      <c r="C18" s="15" t="s">
        <v>38</v>
      </c>
      <c r="D18" s="19" t="s">
        <v>39</v>
      </c>
      <c r="E18" s="17" t="s">
        <v>26</v>
      </c>
    </row>
    <row r="19" customFormat="false" ht="15" hidden="false" customHeight="true" outlineLevel="0" collapsed="false">
      <c r="B19" s="10" t="s">
        <v>40</v>
      </c>
      <c r="C19" s="18" t="s">
        <v>41</v>
      </c>
      <c r="D19" s="12" t="s">
        <v>42</v>
      </c>
      <c r="E19" s="13" t="s">
        <v>26</v>
      </c>
    </row>
    <row r="20" customFormat="false" ht="15" hidden="false" customHeight="true" outlineLevel="0" collapsed="false">
      <c r="B20" s="14" t="s">
        <v>43</v>
      </c>
      <c r="C20" s="15" t="s">
        <v>44</v>
      </c>
      <c r="D20" s="19" t="s">
        <v>45</v>
      </c>
      <c r="E20" s="17" t="s">
        <v>30</v>
      </c>
    </row>
    <row r="21" customFormat="false" ht="15" hidden="false" customHeight="true" outlineLevel="0" collapsed="false">
      <c r="B21" s="10" t="s">
        <v>46</v>
      </c>
      <c r="C21" s="18" t="s">
        <v>47</v>
      </c>
      <c r="D21" s="12" t="s">
        <v>48</v>
      </c>
      <c r="E21" s="13" t="s">
        <v>26</v>
      </c>
    </row>
    <row r="22" customFormat="false" ht="15" hidden="false" customHeight="true" outlineLevel="0" collapsed="false">
      <c r="B22" s="14" t="s">
        <v>49</v>
      </c>
      <c r="C22" s="15" t="s">
        <v>50</v>
      </c>
      <c r="D22" s="19" t="s">
        <v>51</v>
      </c>
      <c r="E22" s="17" t="s">
        <v>30</v>
      </c>
    </row>
    <row r="23" customFormat="false" ht="15" hidden="false" customHeight="true" outlineLevel="0" collapsed="false">
      <c r="B23" s="10" t="s">
        <v>52</v>
      </c>
      <c r="C23" s="18" t="s">
        <v>53</v>
      </c>
      <c r="D23" s="12" t="s">
        <v>54</v>
      </c>
      <c r="E23" s="13" t="s">
        <v>26</v>
      </c>
    </row>
    <row r="24" customFormat="false" ht="15" hidden="false" customHeight="true" outlineLevel="0" collapsed="false">
      <c r="B24" s="14" t="s">
        <v>55</v>
      </c>
      <c r="C24" s="15" t="s">
        <v>56</v>
      </c>
      <c r="D24" s="19" t="s">
        <v>57</v>
      </c>
      <c r="E24" s="17" t="s">
        <v>26</v>
      </c>
    </row>
    <row r="25" customFormat="false" ht="15" hidden="false" customHeight="true" outlineLevel="0" collapsed="false">
      <c r="B25" s="10" t="s">
        <v>58</v>
      </c>
      <c r="C25" s="18" t="s">
        <v>59</v>
      </c>
      <c r="D25" s="12" t="s">
        <v>60</v>
      </c>
      <c r="E25" s="13" t="s">
        <v>30</v>
      </c>
    </row>
    <row r="26" customFormat="false" ht="15" hidden="false" customHeight="false" outlineLevel="0" collapsed="false">
      <c r="B26" s="14" t="s">
        <v>61</v>
      </c>
      <c r="C26" s="15" t="s">
        <v>62</v>
      </c>
      <c r="D26" s="20" t="s">
        <v>63</v>
      </c>
      <c r="E26" s="21" t="s">
        <v>22</v>
      </c>
    </row>
    <row r="27" customFormat="false" ht="15" hidden="false" customHeight="true" outlineLevel="0" collapsed="false">
      <c r="A27" s="22"/>
      <c r="B27" s="22"/>
      <c r="C27" s="22"/>
      <c r="D27" s="22"/>
      <c r="E27" s="22"/>
    </row>
    <row r="28" customFormat="false" ht="15" hidden="false" customHeight="true" outlineLevel="0" collapsed="false">
      <c r="A28" s="22"/>
      <c r="B28" s="22"/>
      <c r="C28" s="22"/>
      <c r="D28" s="22"/>
      <c r="E28" s="22"/>
    </row>
    <row r="29" customFormat="false" ht="15" hidden="false" customHeight="false" outlineLevel="0" collapsed="false">
      <c r="B29" s="10" t="s">
        <v>64</v>
      </c>
      <c r="C29" s="18" t="s">
        <v>65</v>
      </c>
      <c r="D29" s="23" t="s">
        <v>66</v>
      </c>
      <c r="E29" s="24" t="s">
        <v>26</v>
      </c>
    </row>
    <row r="30" customFormat="false" ht="15" hidden="false" customHeight="false" outlineLevel="0" collapsed="false">
      <c r="B30" s="14" t="s">
        <v>67</v>
      </c>
      <c r="C30" s="15" t="s">
        <v>68</v>
      </c>
      <c r="D30" s="20" t="s">
        <v>69</v>
      </c>
      <c r="E30" s="21" t="s">
        <v>26</v>
      </c>
    </row>
    <row r="31" customFormat="false" ht="15" hidden="false" customHeight="false" outlineLevel="0" collapsed="false">
      <c r="B31" s="10" t="s">
        <v>70</v>
      </c>
      <c r="C31" s="18" t="s">
        <v>71</v>
      </c>
      <c r="D31" s="25" t="s">
        <v>72</v>
      </c>
      <c r="E31" s="24" t="s">
        <v>26</v>
      </c>
    </row>
    <row r="32" customFormat="false" ht="15" hidden="false" customHeight="false" outlineLevel="0" collapsed="false">
      <c r="B32" s="14" t="s">
        <v>73</v>
      </c>
      <c r="C32" s="15" t="s">
        <v>74</v>
      </c>
      <c r="D32" s="20" t="s">
        <v>75</v>
      </c>
      <c r="E32" s="21" t="s">
        <v>26</v>
      </c>
    </row>
    <row r="33" customFormat="false" ht="15" hidden="false" customHeight="false" outlineLevel="0" collapsed="false">
      <c r="B33" s="10" t="s">
        <v>76</v>
      </c>
      <c r="C33" s="18" t="s">
        <v>77</v>
      </c>
      <c r="D33" s="23" t="s">
        <v>78</v>
      </c>
      <c r="E33" s="24" t="s">
        <v>26</v>
      </c>
    </row>
    <row r="34" customFormat="false" ht="15" hidden="false" customHeight="false" outlineLevel="0" collapsed="false">
      <c r="B34" s="14" t="s">
        <v>79</v>
      </c>
      <c r="C34" s="15" t="s">
        <v>80</v>
      </c>
      <c r="D34" s="20" t="s">
        <v>81</v>
      </c>
      <c r="E34" s="21" t="s">
        <v>26</v>
      </c>
    </row>
    <row r="36" customFormat="false" ht="668.65" hidden="false" customHeight="false" outlineLevel="0" collapsed="false">
      <c r="A36" s="26" t="s">
        <v>82</v>
      </c>
      <c r="B36" s="27"/>
      <c r="C36" s="27"/>
      <c r="D36" s="27"/>
      <c r="E36" s="28"/>
    </row>
    <row r="37" customFormat="false" ht="826.85" hidden="false" customHeight="false" outlineLevel="0" collapsed="false">
      <c r="A37" s="29" t="s">
        <v>83</v>
      </c>
      <c r="B37" s="27"/>
      <c r="C37" s="27"/>
      <c r="D37" s="27"/>
      <c r="E37" s="28"/>
    </row>
  </sheetData>
  <mergeCells count="11">
    <mergeCell ref="A1:E1"/>
    <mergeCell ref="A2:E2"/>
    <mergeCell ref="C4:E4"/>
    <mergeCell ref="C5:E5"/>
    <mergeCell ref="C6:E6"/>
    <mergeCell ref="C7:E7"/>
    <mergeCell ref="C8:E8"/>
    <mergeCell ref="C9:E9"/>
    <mergeCell ref="B11:E11"/>
    <mergeCell ref="A27:E27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6CD4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7"/>
    <col collapsed="false" customWidth="true" hidden="false" outlineLevel="0" max="5" min="5" style="1" width="34"/>
    <col collapsed="false" customWidth="true" hidden="false" outlineLevel="0" max="6" min="6" style="1" width="20"/>
    <col collapsed="false" customWidth="true" hidden="false" outlineLevel="0" max="7" min="7" style="1" width="24"/>
  </cols>
  <sheetData>
    <row r="1" customFormat="false" ht="33.75" hidden="false" customHeight="true" outlineLevel="0" collapsed="false">
      <c r="A1" s="2" t="s">
        <v>84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85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B4" s="30" t="s">
        <v>86</v>
      </c>
      <c r="C4" s="30"/>
      <c r="D4" s="30"/>
      <c r="E4" s="30"/>
      <c r="F4" s="30"/>
      <c r="G4" s="30"/>
    </row>
    <row r="5" customFormat="false" ht="25.5" hidden="false" customHeight="true" outlineLevel="0" collapsed="false">
      <c r="B5" s="9" t="s">
        <v>87</v>
      </c>
      <c r="C5" s="9" t="s">
        <v>88</v>
      </c>
      <c r="D5" s="9" t="s">
        <v>89</v>
      </c>
      <c r="E5" s="9" t="s">
        <v>90</v>
      </c>
      <c r="F5" s="9" t="s">
        <v>91</v>
      </c>
      <c r="G5" s="8" t="s">
        <v>92</v>
      </c>
    </row>
    <row r="6" customFormat="false" ht="15" hidden="false" customHeight="true" outlineLevel="0" collapsed="false">
      <c r="B6" s="31" t="s">
        <v>93</v>
      </c>
      <c r="C6" s="16" t="s">
        <v>94</v>
      </c>
      <c r="D6" s="32" t="s">
        <v>95</v>
      </c>
      <c r="E6" s="33" t="s">
        <v>96</v>
      </c>
      <c r="F6" s="19" t="s">
        <v>97</v>
      </c>
      <c r="G6" s="33" t="s">
        <v>98</v>
      </c>
    </row>
    <row r="7" customFormat="false" ht="29.25" hidden="false" customHeight="true" outlineLevel="0" collapsed="false">
      <c r="B7" s="34" t="s">
        <v>99</v>
      </c>
      <c r="C7" s="25" t="s">
        <v>100</v>
      </c>
      <c r="D7" s="35" t="s">
        <v>101</v>
      </c>
      <c r="E7" s="36" t="s">
        <v>102</v>
      </c>
      <c r="F7" s="12" t="s">
        <v>103</v>
      </c>
      <c r="G7" s="36" t="s">
        <v>104</v>
      </c>
    </row>
    <row r="8" customFormat="false" ht="15" hidden="false" customHeight="true" outlineLevel="0" collapsed="false">
      <c r="B8" s="31" t="s">
        <v>105</v>
      </c>
      <c r="C8" s="16" t="s">
        <v>106</v>
      </c>
      <c r="D8" s="32" t="s">
        <v>107</v>
      </c>
      <c r="E8" s="33" t="s">
        <v>108</v>
      </c>
      <c r="F8" s="19" t="s">
        <v>109</v>
      </c>
      <c r="G8" s="33" t="s">
        <v>110</v>
      </c>
    </row>
    <row r="9" customFormat="false" ht="15" hidden="false" customHeight="true" outlineLevel="0" collapsed="false">
      <c r="B9" s="34" t="s">
        <v>111</v>
      </c>
      <c r="C9" s="25" t="s">
        <v>112</v>
      </c>
      <c r="D9" s="35" t="s">
        <v>113</v>
      </c>
      <c r="E9" s="36" t="s">
        <v>114</v>
      </c>
      <c r="F9" s="12" t="s">
        <v>115</v>
      </c>
      <c r="G9" s="36" t="s">
        <v>116</v>
      </c>
    </row>
    <row r="11" customFormat="false" ht="26.25" hidden="false" customHeight="true" outlineLevel="0" collapsed="false">
      <c r="B11" s="26" t="s">
        <v>117</v>
      </c>
      <c r="C11" s="26"/>
      <c r="D11" s="26"/>
      <c r="E11" s="26"/>
      <c r="F11" s="26"/>
      <c r="G11" s="26"/>
    </row>
    <row r="13" customFormat="false" ht="21.75" hidden="false" customHeight="true" outlineLevel="0" collapsed="false">
      <c r="B13" s="30" t="s">
        <v>118</v>
      </c>
      <c r="C13" s="30"/>
      <c r="D13" s="30"/>
      <c r="E13" s="30"/>
      <c r="F13" s="30"/>
      <c r="G13" s="30"/>
    </row>
    <row r="14" customFormat="false" ht="25.5" hidden="false" customHeight="true" outlineLevel="0" collapsed="false">
      <c r="B14" s="9" t="s">
        <v>119</v>
      </c>
      <c r="C14" s="9" t="s">
        <v>120</v>
      </c>
      <c r="D14" s="9" t="s">
        <v>121</v>
      </c>
      <c r="E14" s="9" t="s">
        <v>122</v>
      </c>
      <c r="F14" s="9" t="s">
        <v>123</v>
      </c>
      <c r="G14" s="9" t="s">
        <v>124</v>
      </c>
    </row>
    <row r="15" customFormat="false" ht="15" hidden="false" customHeight="true" outlineLevel="0" collapsed="false">
      <c r="B15" s="11" t="s">
        <v>125</v>
      </c>
      <c r="C15" s="37" t="s">
        <v>93</v>
      </c>
      <c r="D15" s="10" t="n">
        <v>10</v>
      </c>
      <c r="E15" s="10" t="n">
        <v>9</v>
      </c>
      <c r="F15" s="38" t="s">
        <v>126</v>
      </c>
      <c r="G15" s="10" t="s">
        <v>127</v>
      </c>
    </row>
    <row r="16" customFormat="false" ht="15" hidden="false" customHeight="true" outlineLevel="0" collapsed="false">
      <c r="B16" s="39" t="s">
        <v>128</v>
      </c>
      <c r="C16" s="40" t="s">
        <v>93</v>
      </c>
      <c r="D16" s="14" t="n">
        <v>10</v>
      </c>
      <c r="E16" s="14" t="n">
        <v>9</v>
      </c>
      <c r="F16" s="41" t="s">
        <v>126</v>
      </c>
      <c r="G16" s="14" t="s">
        <v>127</v>
      </c>
    </row>
    <row r="17" customFormat="false" ht="15" hidden="false" customHeight="true" outlineLevel="0" collapsed="false">
      <c r="B17" s="11" t="s">
        <v>129</v>
      </c>
      <c r="C17" s="37" t="s">
        <v>99</v>
      </c>
      <c r="D17" s="10" t="n">
        <v>10</v>
      </c>
      <c r="E17" s="10" t="n">
        <v>8</v>
      </c>
      <c r="F17" s="38" t="s">
        <v>126</v>
      </c>
      <c r="G17" s="10" t="s">
        <v>127</v>
      </c>
    </row>
    <row r="18" customFormat="false" ht="15" hidden="false" customHeight="true" outlineLevel="0" collapsed="false">
      <c r="B18" s="39" t="s">
        <v>130</v>
      </c>
      <c r="C18" s="40" t="s">
        <v>99</v>
      </c>
      <c r="D18" s="14" t="n">
        <v>10</v>
      </c>
      <c r="E18" s="14" t="n">
        <v>9</v>
      </c>
      <c r="F18" s="41" t="s">
        <v>126</v>
      </c>
      <c r="G18" s="14" t="s">
        <v>127</v>
      </c>
    </row>
    <row r="19" customFormat="false" ht="15" hidden="false" customHeight="true" outlineLevel="0" collapsed="false">
      <c r="B19" s="11" t="s">
        <v>131</v>
      </c>
      <c r="C19" s="37" t="s">
        <v>105</v>
      </c>
      <c r="D19" s="10" t="n">
        <v>10</v>
      </c>
      <c r="E19" s="10" t="n">
        <v>8</v>
      </c>
      <c r="F19" s="38" t="s">
        <v>126</v>
      </c>
      <c r="G19" s="10" t="s">
        <v>127</v>
      </c>
    </row>
    <row r="20" customFormat="false" ht="15" hidden="false" customHeight="true" outlineLevel="0" collapsed="false">
      <c r="B20" s="39" t="s">
        <v>132</v>
      </c>
      <c r="C20" s="40" t="s">
        <v>105</v>
      </c>
      <c r="D20" s="14" t="n">
        <v>10</v>
      </c>
      <c r="E20" s="14" t="n">
        <v>9</v>
      </c>
      <c r="F20" s="41" t="s">
        <v>126</v>
      </c>
      <c r="G20" s="14" t="s">
        <v>127</v>
      </c>
    </row>
    <row r="22" customFormat="false" ht="26.25" hidden="false" customHeight="true" outlineLevel="0" collapsed="false">
      <c r="B22" s="26" t="s">
        <v>133</v>
      </c>
      <c r="C22" s="26"/>
      <c r="D22" s="26"/>
      <c r="E22" s="26"/>
      <c r="F22" s="26"/>
      <c r="G22" s="26"/>
    </row>
    <row r="24" customFormat="false" ht="21.75" hidden="false" customHeight="true" outlineLevel="0" collapsed="false">
      <c r="B24" s="30" t="s">
        <v>134</v>
      </c>
      <c r="C24" s="30"/>
      <c r="D24" s="30"/>
      <c r="E24" s="30"/>
      <c r="F24" s="30"/>
      <c r="G24" s="30"/>
    </row>
    <row r="25" customFormat="false" ht="25.5" hidden="false" customHeight="true" outlineLevel="0" collapsed="false">
      <c r="B25" s="9" t="s">
        <v>135</v>
      </c>
      <c r="C25" s="9" t="s">
        <v>136</v>
      </c>
      <c r="D25" s="9" t="s">
        <v>137</v>
      </c>
      <c r="E25" s="9"/>
      <c r="F25" s="9"/>
      <c r="G25" s="9"/>
    </row>
    <row r="26" customFormat="false" ht="15" hidden="false" customHeight="true" outlineLevel="0" collapsed="false">
      <c r="B26" s="39" t="s">
        <v>138</v>
      </c>
      <c r="C26" s="42" t="n">
        <v>70</v>
      </c>
      <c r="D26" s="43" t="s">
        <v>139</v>
      </c>
      <c r="E26" s="16"/>
      <c r="F26" s="16"/>
      <c r="G26" s="16"/>
    </row>
    <row r="27" customFormat="false" ht="15" hidden="false" customHeight="true" outlineLevel="0" collapsed="false">
      <c r="B27" s="11" t="s">
        <v>121</v>
      </c>
      <c r="C27" s="44" t="n">
        <v>10</v>
      </c>
      <c r="D27" s="45" t="s">
        <v>139</v>
      </c>
      <c r="E27" s="25"/>
      <c r="F27" s="25"/>
      <c r="G27" s="25"/>
    </row>
    <row r="28" customFormat="false" ht="15" hidden="false" customHeight="true" outlineLevel="0" collapsed="false">
      <c r="B28" s="39" t="s">
        <v>122</v>
      </c>
      <c r="C28" s="42" t="n">
        <v>8</v>
      </c>
      <c r="D28" s="43" t="s">
        <v>139</v>
      </c>
      <c r="E28" s="16"/>
      <c r="F28" s="16"/>
      <c r="G28" s="16"/>
    </row>
    <row r="29" customFormat="false" ht="15" hidden="false" customHeight="true" outlineLevel="0" collapsed="false">
      <c r="B29" s="11" t="s">
        <v>123</v>
      </c>
      <c r="C29" s="44" t="n">
        <v>3</v>
      </c>
      <c r="D29" s="45" t="s">
        <v>139</v>
      </c>
      <c r="E29" s="25"/>
      <c r="F29" s="25"/>
      <c r="G29" s="25"/>
    </row>
    <row r="30" customFormat="false" ht="15" hidden="false" customHeight="true" outlineLevel="0" collapsed="false">
      <c r="B30" s="39" t="s">
        <v>140</v>
      </c>
      <c r="C30" s="42" t="n">
        <v>2</v>
      </c>
      <c r="D30" s="43" t="s">
        <v>139</v>
      </c>
      <c r="E30" s="16"/>
      <c r="F30" s="16"/>
      <c r="G30" s="16"/>
    </row>
    <row r="31" customFormat="false" ht="15" hidden="false" customHeight="true" outlineLevel="0" collapsed="false">
      <c r="B31" s="34" t="s">
        <v>141</v>
      </c>
      <c r="C31" s="46" t="n">
        <f aca="false">C27+(C26-1)*C29</f>
        <v>217</v>
      </c>
      <c r="D31" s="12" t="s">
        <v>142</v>
      </c>
      <c r="E31" s="25"/>
      <c r="F31" s="25"/>
      <c r="G31" s="25"/>
    </row>
    <row r="32" customFormat="false" ht="15" hidden="false" customHeight="true" outlineLevel="0" collapsed="false">
      <c r="B32" s="31" t="s">
        <v>143</v>
      </c>
      <c r="C32" s="47" t="n">
        <f aca="false">C28+(C26-1)*C30</f>
        <v>146</v>
      </c>
      <c r="D32" s="19" t="s">
        <v>144</v>
      </c>
      <c r="E32" s="16"/>
      <c r="F32" s="16"/>
      <c r="G32" s="16"/>
    </row>
  </sheetData>
  <mergeCells count="7">
    <mergeCell ref="A1:G1"/>
    <mergeCell ref="A2:G2"/>
    <mergeCell ref="B4:G4"/>
    <mergeCell ref="B11:G11"/>
    <mergeCell ref="B13:G13"/>
    <mergeCell ref="B22:G22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6CD4"/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48"/>
  </cols>
  <sheetData>
    <row r="1" customFormat="false" ht="33.75" hidden="false" customHeight="true" outlineLevel="0" collapsed="false">
      <c r="A1" s="2" t="s">
        <v>145</v>
      </c>
      <c r="B1" s="2"/>
      <c r="C1" s="2"/>
      <c r="D1" s="2"/>
      <c r="E1" s="2"/>
    </row>
    <row r="2" customFormat="false" ht="18" hidden="false" customHeight="true" outlineLevel="0" collapsed="false">
      <c r="A2" s="48" t="s">
        <v>146</v>
      </c>
      <c r="B2" s="48"/>
      <c r="C2" s="48"/>
      <c r="D2" s="48"/>
      <c r="E2" s="48"/>
    </row>
    <row r="4" customFormat="false" ht="21.75" hidden="false" customHeight="true" outlineLevel="0" collapsed="false">
      <c r="B4" s="30" t="s">
        <v>147</v>
      </c>
      <c r="C4" s="30"/>
      <c r="D4" s="30"/>
      <c r="E4" s="30"/>
    </row>
    <row r="5" customFormat="false" ht="25.5" hidden="false" customHeight="true" outlineLevel="0" collapsed="false">
      <c r="B5" s="9" t="s">
        <v>148</v>
      </c>
      <c r="C5" s="9" t="s">
        <v>136</v>
      </c>
      <c r="D5" s="9" t="s">
        <v>149</v>
      </c>
      <c r="E5" s="9" t="s">
        <v>90</v>
      </c>
    </row>
    <row r="6" customFormat="false" ht="15" hidden="false" customHeight="true" outlineLevel="0" collapsed="false">
      <c r="B6" s="39" t="s">
        <v>150</v>
      </c>
      <c r="C6" s="42" t="n">
        <v>70</v>
      </c>
      <c r="D6" s="49" t="s">
        <v>151</v>
      </c>
      <c r="E6" s="33" t="s">
        <v>152</v>
      </c>
    </row>
    <row r="7" customFormat="false" ht="15" hidden="false" customHeight="true" outlineLevel="0" collapsed="false">
      <c r="B7" s="11" t="s">
        <v>153</v>
      </c>
      <c r="C7" s="44" t="n">
        <v>1200</v>
      </c>
      <c r="D7" s="50" t="s">
        <v>154</v>
      </c>
      <c r="E7" s="36" t="s">
        <v>155</v>
      </c>
    </row>
    <row r="8" customFormat="false" ht="15" hidden="false" customHeight="true" outlineLevel="0" collapsed="false">
      <c r="B8" s="39" t="s">
        <v>156</v>
      </c>
      <c r="C8" s="42" t="n">
        <v>700</v>
      </c>
      <c r="D8" s="49" t="s">
        <v>154</v>
      </c>
      <c r="E8" s="33" t="s">
        <v>157</v>
      </c>
    </row>
    <row r="9" customFormat="false" ht="15" hidden="false" customHeight="true" outlineLevel="0" collapsed="false">
      <c r="B9" s="11" t="s">
        <v>158</v>
      </c>
      <c r="C9" s="44" t="n">
        <v>6000</v>
      </c>
      <c r="D9" s="13"/>
      <c r="E9" s="36" t="s">
        <v>159</v>
      </c>
    </row>
    <row r="10" customFormat="false" ht="15" hidden="false" customHeight="true" outlineLevel="0" collapsed="false">
      <c r="B10" s="39" t="s">
        <v>160</v>
      </c>
      <c r="C10" s="42" t="n">
        <v>700</v>
      </c>
      <c r="D10" s="17"/>
      <c r="E10" s="33" t="s">
        <v>161</v>
      </c>
    </row>
    <row r="11" customFormat="false" ht="15" hidden="false" customHeight="true" outlineLevel="0" collapsed="false">
      <c r="B11" s="11" t="s">
        <v>162</v>
      </c>
      <c r="C11" s="44" t="n">
        <v>70</v>
      </c>
      <c r="D11" s="50" t="s">
        <v>151</v>
      </c>
      <c r="E11" s="36" t="s">
        <v>163</v>
      </c>
    </row>
    <row r="12" customFormat="false" ht="15" hidden="false" customHeight="true" outlineLevel="0" collapsed="false">
      <c r="B12" s="39" t="s">
        <v>164</v>
      </c>
      <c r="C12" s="42" t="n">
        <v>90</v>
      </c>
      <c r="D12" s="17"/>
      <c r="E12" s="33" t="s">
        <v>165</v>
      </c>
    </row>
    <row r="13" customFormat="false" ht="15" hidden="false" customHeight="true" outlineLevel="0" collapsed="false">
      <c r="B13" s="11" t="s">
        <v>166</v>
      </c>
      <c r="C13" s="44" t="n">
        <v>4</v>
      </c>
      <c r="D13" s="13"/>
      <c r="E13" s="36" t="s">
        <v>167</v>
      </c>
    </row>
    <row r="15" customFormat="false" ht="21.75" hidden="false" customHeight="true" outlineLevel="0" collapsed="false">
      <c r="B15" s="30" t="s">
        <v>168</v>
      </c>
      <c r="C15" s="30"/>
      <c r="D15" s="30"/>
      <c r="E15" s="30"/>
    </row>
    <row r="16" customFormat="false" ht="25.5" hidden="false" customHeight="true" outlineLevel="0" collapsed="false">
      <c r="B16" s="9" t="s">
        <v>169</v>
      </c>
      <c r="C16" s="9" t="s">
        <v>170</v>
      </c>
      <c r="D16" s="9" t="s">
        <v>149</v>
      </c>
      <c r="E16" s="9" t="s">
        <v>30</v>
      </c>
    </row>
    <row r="17" customFormat="false" ht="15" hidden="false" customHeight="true" outlineLevel="0" collapsed="false">
      <c r="B17" s="34" t="s">
        <v>171</v>
      </c>
      <c r="C17" s="46" t="n">
        <f aca="false">(36+C13*C6)+C8*C12</f>
        <v>63316</v>
      </c>
      <c r="D17" s="50" t="s">
        <v>172</v>
      </c>
      <c r="E17" s="51" t="s">
        <v>173</v>
      </c>
    </row>
    <row r="18" customFormat="false" ht="15" hidden="false" customHeight="true" outlineLevel="0" collapsed="false">
      <c r="B18" s="31" t="s">
        <v>174</v>
      </c>
      <c r="C18" s="52" t="n">
        <f aca="false">C7/100</f>
        <v>12</v>
      </c>
      <c r="D18" s="49" t="s">
        <v>175</v>
      </c>
      <c r="E18" s="33" t="s">
        <v>176</v>
      </c>
    </row>
    <row r="19" customFormat="false" ht="15" hidden="false" customHeight="true" outlineLevel="0" collapsed="false">
      <c r="B19" s="34" t="s">
        <v>177</v>
      </c>
      <c r="C19" s="53" t="n">
        <f aca="false">1+C7/100</f>
        <v>13</v>
      </c>
      <c r="D19" s="13" t="s">
        <v>178</v>
      </c>
      <c r="E19" s="51" t="s">
        <v>179</v>
      </c>
    </row>
    <row r="20" customFormat="false" ht="15" hidden="false" customHeight="true" outlineLevel="0" collapsed="false">
      <c r="B20" s="31" t="s">
        <v>180</v>
      </c>
      <c r="C20" s="52" t="n">
        <f aca="false">C9/(C9+50*C11)</f>
        <v>0.631578947368421</v>
      </c>
      <c r="D20" s="49" t="s">
        <v>181</v>
      </c>
      <c r="E20" s="54" t="s">
        <v>182</v>
      </c>
    </row>
    <row r="21" customFormat="false" ht="15" hidden="false" customHeight="true" outlineLevel="0" collapsed="false">
      <c r="B21" s="34" t="s">
        <v>183</v>
      </c>
      <c r="C21" s="55" t="n">
        <f aca="false">C10/(C10+5*C11)</f>
        <v>0.666666666666667</v>
      </c>
      <c r="D21" s="50" t="s">
        <v>181</v>
      </c>
      <c r="E21" s="51" t="s">
        <v>184</v>
      </c>
    </row>
    <row r="22" customFormat="false" ht="15" hidden="false" customHeight="true" outlineLevel="0" collapsed="false">
      <c r="B22" s="31" t="s">
        <v>185</v>
      </c>
      <c r="C22" s="52" t="n">
        <f aca="false">1-(1-C9/(C9+50*C11))*(1-C10/(C10+5*C11))</f>
        <v>0.87719298245614</v>
      </c>
      <c r="D22" s="49" t="s">
        <v>181</v>
      </c>
      <c r="E22" s="54" t="s">
        <v>186</v>
      </c>
    </row>
    <row r="24" customFormat="false" ht="21.75" hidden="false" customHeight="true" outlineLevel="0" collapsed="false">
      <c r="B24" s="30" t="s">
        <v>187</v>
      </c>
      <c r="C24" s="30"/>
      <c r="D24" s="30"/>
      <c r="E24" s="30"/>
    </row>
    <row r="25" customFormat="false" ht="25.5" hidden="false" customHeight="true" outlineLevel="0" collapsed="false">
      <c r="B25" s="9" t="s">
        <v>188</v>
      </c>
      <c r="C25" s="9" t="s">
        <v>170</v>
      </c>
      <c r="D25" s="9" t="s">
        <v>149</v>
      </c>
      <c r="E25" s="9" t="s">
        <v>30</v>
      </c>
    </row>
    <row r="26" customFormat="false" ht="15" hidden="false" customHeight="true" outlineLevel="0" collapsed="false">
      <c r="B26" s="31" t="s">
        <v>189</v>
      </c>
      <c r="C26" s="47" t="n">
        <f aca="false">C17/(1-C22)</f>
        <v>515573.142857143</v>
      </c>
      <c r="D26" s="49" t="s">
        <v>190</v>
      </c>
      <c r="E26" s="33" t="s">
        <v>191</v>
      </c>
    </row>
    <row r="28" customFormat="false" ht="26.25" hidden="false" customHeight="true" outlineLevel="0" collapsed="false">
      <c r="B28" s="26" t="s">
        <v>192</v>
      </c>
      <c r="C28" s="26"/>
      <c r="D28" s="26"/>
      <c r="E28" s="26"/>
    </row>
    <row r="29" customFormat="false" ht="26.25" hidden="false" customHeight="true" outlineLevel="0" collapsed="false">
      <c r="B29" s="29" t="s">
        <v>193</v>
      </c>
      <c r="C29" s="29"/>
      <c r="D29" s="29"/>
      <c r="E29" s="29"/>
    </row>
  </sheetData>
  <mergeCells count="7">
    <mergeCell ref="A1:E1"/>
    <mergeCell ref="A2:E2"/>
    <mergeCell ref="B4:E4"/>
    <mergeCell ref="B15:E15"/>
    <mergeCell ref="B24:E24"/>
    <mergeCell ref="B28:E28"/>
    <mergeCell ref="B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50"/>
  </cols>
  <sheetData>
    <row r="1" customFormat="false" ht="33.75" hidden="false" customHeight="true" outlineLevel="0" collapsed="false">
      <c r="A1" s="2" t="s">
        <v>194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48" t="s">
        <v>195</v>
      </c>
      <c r="B2" s="48"/>
      <c r="C2" s="48"/>
      <c r="D2" s="48"/>
      <c r="E2" s="48"/>
      <c r="F2" s="48"/>
    </row>
    <row r="4" customFormat="false" ht="21.75" hidden="false" customHeight="true" outlineLevel="0" collapsed="false">
      <c r="B4" s="30" t="s">
        <v>196</v>
      </c>
      <c r="C4" s="30"/>
      <c r="D4" s="30"/>
      <c r="E4" s="30"/>
      <c r="F4" s="30"/>
    </row>
    <row r="5" customFormat="false" ht="25.5" hidden="false" customHeight="true" outlineLevel="0" collapsed="false">
      <c r="B5" s="9"/>
      <c r="C5" s="9" t="s">
        <v>148</v>
      </c>
      <c r="D5" s="9" t="s">
        <v>136</v>
      </c>
      <c r="E5" s="9" t="s">
        <v>149</v>
      </c>
      <c r="F5" s="9" t="s">
        <v>90</v>
      </c>
    </row>
    <row r="6" customFormat="false" ht="15" hidden="false" customHeight="true" outlineLevel="0" collapsed="false">
      <c r="B6" s="16"/>
      <c r="C6" s="39" t="s">
        <v>197</v>
      </c>
      <c r="D6" s="42" t="n">
        <v>1000</v>
      </c>
      <c r="E6" s="17"/>
      <c r="F6" s="33" t="s">
        <v>198</v>
      </c>
    </row>
    <row r="7" customFormat="false" ht="15" hidden="false" customHeight="true" outlineLevel="0" collapsed="false">
      <c r="B7" s="25"/>
      <c r="C7" s="11" t="s">
        <v>199</v>
      </c>
      <c r="D7" s="44" t="n">
        <v>1500</v>
      </c>
      <c r="E7" s="13"/>
      <c r="F7" s="36" t="s">
        <v>200</v>
      </c>
    </row>
    <row r="8" customFormat="false" ht="15" hidden="false" customHeight="true" outlineLevel="0" collapsed="false">
      <c r="B8" s="16"/>
      <c r="C8" s="39" t="s">
        <v>201</v>
      </c>
      <c r="D8" s="56" t="n">
        <v>1.4</v>
      </c>
      <c r="E8" s="17" t="s">
        <v>202</v>
      </c>
      <c r="F8" s="54" t="s">
        <v>203</v>
      </c>
    </row>
    <row r="9" customFormat="false" ht="15" hidden="false" customHeight="true" outlineLevel="0" collapsed="false">
      <c r="B9" s="25"/>
      <c r="C9" s="11" t="s">
        <v>120</v>
      </c>
      <c r="D9" s="44" t="n">
        <v>1200</v>
      </c>
      <c r="E9" s="50" t="s">
        <v>154</v>
      </c>
      <c r="F9" s="51" t="s">
        <v>204</v>
      </c>
    </row>
    <row r="10" customFormat="false" ht="15" hidden="false" customHeight="true" outlineLevel="0" collapsed="false">
      <c r="B10" s="16"/>
      <c r="C10" s="39" t="s">
        <v>205</v>
      </c>
      <c r="D10" s="42" t="n">
        <v>50</v>
      </c>
      <c r="E10" s="49" t="s">
        <v>206</v>
      </c>
      <c r="F10" s="54" t="s">
        <v>207</v>
      </c>
    </row>
    <row r="11" customFormat="false" ht="15" hidden="false" customHeight="true" outlineLevel="0" collapsed="false">
      <c r="B11" s="25"/>
      <c r="C11" s="11" t="s">
        <v>208</v>
      </c>
      <c r="D11" s="44" t="n">
        <v>350</v>
      </c>
      <c r="E11" s="50" t="s">
        <v>206</v>
      </c>
      <c r="F11" s="51" t="s">
        <v>209</v>
      </c>
    </row>
    <row r="12" customFormat="false" ht="15" hidden="false" customHeight="true" outlineLevel="0" collapsed="false">
      <c r="B12" s="16"/>
      <c r="C12" s="39" t="s">
        <v>210</v>
      </c>
      <c r="D12" s="56" t="n">
        <v>2</v>
      </c>
      <c r="E12" s="17" t="s">
        <v>178</v>
      </c>
      <c r="F12" s="33" t="s">
        <v>211</v>
      </c>
    </row>
    <row r="13" customFormat="false" ht="15" hidden="false" customHeight="true" outlineLevel="0" collapsed="false">
      <c r="B13" s="25"/>
      <c r="C13" s="11" t="s">
        <v>212</v>
      </c>
      <c r="D13" s="44" t="n">
        <v>60</v>
      </c>
      <c r="E13" s="50" t="s">
        <v>206</v>
      </c>
      <c r="F13" s="36" t="s">
        <v>213</v>
      </c>
    </row>
    <row r="14" customFormat="false" ht="15" hidden="false" customHeight="true" outlineLevel="0" collapsed="false">
      <c r="B14" s="16"/>
      <c r="C14" s="39" t="s">
        <v>214</v>
      </c>
      <c r="D14" s="42" t="n">
        <v>30</v>
      </c>
      <c r="E14" s="49" t="s">
        <v>206</v>
      </c>
      <c r="F14" s="33" t="s">
        <v>215</v>
      </c>
    </row>
    <row r="16" customFormat="false" ht="21.75" hidden="false" customHeight="true" outlineLevel="0" collapsed="false">
      <c r="B16" s="30" t="s">
        <v>216</v>
      </c>
      <c r="C16" s="30"/>
      <c r="D16" s="30"/>
      <c r="E16" s="30"/>
      <c r="F16" s="30"/>
    </row>
    <row r="17" customFormat="false" ht="25.5" hidden="false" customHeight="true" outlineLevel="0" collapsed="false">
      <c r="B17" s="9" t="s">
        <v>217</v>
      </c>
      <c r="C17" s="9" t="s">
        <v>218</v>
      </c>
      <c r="D17" s="9" t="s">
        <v>170</v>
      </c>
      <c r="E17" s="9" t="s">
        <v>149</v>
      </c>
      <c r="F17" s="9" t="s">
        <v>219</v>
      </c>
    </row>
    <row r="18" customFormat="false" ht="15" hidden="false" customHeight="true" outlineLevel="0" collapsed="false">
      <c r="B18" s="57" t="s">
        <v>220</v>
      </c>
      <c r="C18" s="39" t="s">
        <v>221</v>
      </c>
      <c r="D18" s="58" t="n">
        <f aca="false">(D6+D7)/2</f>
        <v>1250</v>
      </c>
      <c r="E18" s="17" t="s">
        <v>222</v>
      </c>
      <c r="F18" s="54" t="s">
        <v>223</v>
      </c>
    </row>
    <row r="19" customFormat="false" ht="15" hidden="false" customHeight="true" outlineLevel="0" collapsed="false">
      <c r="B19" s="59" t="s">
        <v>224</v>
      </c>
      <c r="C19" s="11" t="s">
        <v>225</v>
      </c>
      <c r="D19" s="60" t="n">
        <f aca="false">D18*D8</f>
        <v>1750</v>
      </c>
      <c r="E19" s="50" t="s">
        <v>226</v>
      </c>
      <c r="F19" s="36" t="s">
        <v>227</v>
      </c>
    </row>
    <row r="20" customFormat="false" ht="15" hidden="false" customHeight="true" outlineLevel="0" collapsed="false">
      <c r="B20" s="57" t="s">
        <v>228</v>
      </c>
      <c r="C20" s="39" t="s">
        <v>229</v>
      </c>
      <c r="D20" s="58" t="n">
        <f aca="false">D19*(1+D9/100)</f>
        <v>22750</v>
      </c>
      <c r="E20" s="49" t="s">
        <v>226</v>
      </c>
      <c r="F20" s="54" t="s">
        <v>230</v>
      </c>
    </row>
    <row r="21" customFormat="false" ht="15" hidden="false" customHeight="true" outlineLevel="0" collapsed="false">
      <c r="B21" s="59" t="s">
        <v>231</v>
      </c>
      <c r="C21" s="11" t="s">
        <v>232</v>
      </c>
      <c r="D21" s="61" t="n">
        <f aca="false">1+(D10/100)*(D11/100)</f>
        <v>2.75</v>
      </c>
      <c r="E21" s="13" t="s">
        <v>178</v>
      </c>
      <c r="F21" s="51" t="s">
        <v>233</v>
      </c>
    </row>
    <row r="22" customFormat="false" ht="15" hidden="false" customHeight="true" outlineLevel="0" collapsed="false">
      <c r="B22" s="57" t="s">
        <v>234</v>
      </c>
      <c r="C22" s="39" t="s">
        <v>235</v>
      </c>
      <c r="D22" s="58" t="n">
        <f aca="false">D20*D21</f>
        <v>62562.5</v>
      </c>
      <c r="E22" s="49" t="s">
        <v>226</v>
      </c>
      <c r="F22" s="54" t="s">
        <v>236</v>
      </c>
    </row>
    <row r="23" customFormat="false" ht="15" hidden="false" customHeight="true" outlineLevel="0" collapsed="false">
      <c r="B23" s="59" t="s">
        <v>237</v>
      </c>
      <c r="C23" s="11" t="s">
        <v>238</v>
      </c>
      <c r="D23" s="60" t="n">
        <f aca="false">D22*(1+D13/100)</f>
        <v>100100</v>
      </c>
      <c r="E23" s="50" t="s">
        <v>226</v>
      </c>
      <c r="F23" s="51" t="s">
        <v>239</v>
      </c>
    </row>
    <row r="24" customFormat="false" ht="15" hidden="false" customHeight="true" outlineLevel="0" collapsed="false">
      <c r="B24" s="57" t="s">
        <v>240</v>
      </c>
      <c r="C24" s="39" t="s">
        <v>241</v>
      </c>
      <c r="D24" s="47" t="n">
        <f aca="false">D23*D12</f>
        <v>200200</v>
      </c>
      <c r="E24" s="17" t="s">
        <v>222</v>
      </c>
      <c r="F24" s="54" t="s">
        <v>242</v>
      </c>
    </row>
    <row r="25" customFormat="false" ht="15" hidden="false" customHeight="true" outlineLevel="0" collapsed="false">
      <c r="B25" s="62" t="s">
        <v>243</v>
      </c>
      <c r="C25" s="63" t="s">
        <v>244</v>
      </c>
      <c r="D25" s="64" t="n">
        <f aca="false">D24*(1+D14/100)</f>
        <v>260260</v>
      </c>
      <c r="E25" s="13" t="s">
        <v>222</v>
      </c>
      <c r="F25" s="51" t="s">
        <v>245</v>
      </c>
    </row>
    <row r="27" customFormat="false" ht="21.75" hidden="false" customHeight="true" outlineLevel="0" collapsed="false">
      <c r="B27" s="30" t="s">
        <v>246</v>
      </c>
      <c r="C27" s="30"/>
      <c r="D27" s="30"/>
      <c r="E27" s="30"/>
      <c r="F27" s="30"/>
    </row>
    <row r="28" customFormat="false" ht="25.5" hidden="false" customHeight="true" outlineLevel="0" collapsed="false">
      <c r="B28" s="9"/>
      <c r="C28" s="9" t="s">
        <v>188</v>
      </c>
      <c r="D28" s="9" t="s">
        <v>170</v>
      </c>
      <c r="E28" s="9" t="s">
        <v>149</v>
      </c>
      <c r="F28" s="9" t="s">
        <v>90</v>
      </c>
    </row>
    <row r="29" customFormat="false" ht="15" hidden="false" customHeight="true" outlineLevel="0" collapsed="false">
      <c r="B29" s="65"/>
      <c r="C29" s="34" t="s">
        <v>247</v>
      </c>
      <c r="D29" s="66" t="n">
        <f aca="false">D23</f>
        <v>100100</v>
      </c>
      <c r="E29" s="50" t="s">
        <v>226</v>
      </c>
      <c r="F29" s="36" t="s">
        <v>248</v>
      </c>
    </row>
    <row r="31" customFormat="false" ht="26.25" hidden="false" customHeight="true" outlineLevel="0" collapsed="false">
      <c r="B31" s="26" t="s">
        <v>249</v>
      </c>
      <c r="C31" s="26"/>
      <c r="D31" s="26"/>
      <c r="E31" s="26"/>
      <c r="F31" s="26"/>
    </row>
    <row r="32" customFormat="false" ht="15" hidden="false" customHeight="true" outlineLevel="0" collapsed="false">
      <c r="B32" s="29" t="s">
        <v>250</v>
      </c>
      <c r="C32" s="29"/>
      <c r="D32" s="29"/>
      <c r="E32" s="29"/>
      <c r="F32" s="29"/>
    </row>
    <row r="33" customFormat="false" ht="15" hidden="false" customHeight="true" outlineLevel="0" collapsed="false">
      <c r="B33" s="29" t="s">
        <v>251</v>
      </c>
      <c r="C33" s="29"/>
      <c r="D33" s="29"/>
      <c r="E33" s="29"/>
      <c r="F33" s="29"/>
    </row>
  </sheetData>
  <mergeCells count="8">
    <mergeCell ref="A1:F1"/>
    <mergeCell ref="A2:F2"/>
    <mergeCell ref="B4:F4"/>
    <mergeCell ref="B16:F16"/>
    <mergeCell ref="B27:F27"/>
    <mergeCell ref="B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4B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40"/>
  </cols>
  <sheetData>
    <row r="1" customFormat="false" ht="33.75" hidden="false" customHeight="true" outlineLevel="0" collapsed="false">
      <c r="A1" s="2" t="s">
        <v>252</v>
      </c>
      <c r="B1" s="2"/>
      <c r="C1" s="2"/>
      <c r="D1" s="2"/>
      <c r="E1" s="2"/>
    </row>
    <row r="2" customFormat="false" ht="18" hidden="false" customHeight="true" outlineLevel="0" collapsed="false">
      <c r="A2" s="48" t="s">
        <v>253</v>
      </c>
      <c r="B2" s="48"/>
      <c r="C2" s="48"/>
      <c r="D2" s="48"/>
      <c r="E2" s="48"/>
    </row>
    <row r="4" customFormat="false" ht="21.75" hidden="false" customHeight="true" outlineLevel="0" collapsed="false">
      <c r="B4" s="30" t="s">
        <v>254</v>
      </c>
      <c r="C4" s="30"/>
      <c r="D4" s="30"/>
      <c r="E4" s="30"/>
    </row>
    <row r="5" customFormat="false" ht="25.5" hidden="false" customHeight="true" outlineLevel="0" collapsed="false">
      <c r="B5" s="9" t="s">
        <v>255</v>
      </c>
      <c r="C5" s="9" t="s">
        <v>256</v>
      </c>
      <c r="D5" s="9" t="s">
        <v>90</v>
      </c>
      <c r="E5" s="9"/>
      <c r="F5" s="9"/>
    </row>
    <row r="6" customFormat="false" ht="43.5" hidden="false" customHeight="true" outlineLevel="0" collapsed="false">
      <c r="B6" s="31" t="s">
        <v>257</v>
      </c>
      <c r="C6" s="67" t="s">
        <v>258</v>
      </c>
      <c r="D6" s="33" t="s">
        <v>259</v>
      </c>
      <c r="E6" s="5"/>
      <c r="F6" s="5"/>
    </row>
    <row r="7" customFormat="false" ht="88.5" hidden="false" customHeight="true" outlineLevel="0" collapsed="false">
      <c r="B7" s="34" t="s">
        <v>260</v>
      </c>
      <c r="C7" s="68" t="s">
        <v>261</v>
      </c>
      <c r="D7" s="51" t="s">
        <v>262</v>
      </c>
      <c r="E7" s="5"/>
      <c r="F7" s="5"/>
    </row>
    <row r="8" customFormat="false" ht="29.25" hidden="false" customHeight="true" outlineLevel="0" collapsed="false">
      <c r="B8" s="31" t="s">
        <v>263</v>
      </c>
      <c r="C8" s="67" t="s">
        <v>264</v>
      </c>
      <c r="D8" s="54" t="s">
        <v>265</v>
      </c>
      <c r="E8" s="5"/>
      <c r="F8" s="5"/>
    </row>
    <row r="9" customFormat="false" ht="57.75" hidden="false" customHeight="true" outlineLevel="0" collapsed="false">
      <c r="B9" s="34" t="s">
        <v>266</v>
      </c>
      <c r="C9" s="68" t="s">
        <v>267</v>
      </c>
      <c r="D9" s="36" t="s">
        <v>268</v>
      </c>
      <c r="E9" s="5"/>
      <c r="F9" s="5"/>
    </row>
    <row r="10" customFormat="false" ht="57.75" hidden="false" customHeight="true" outlineLevel="0" collapsed="false">
      <c r="B10" s="31" t="s">
        <v>269</v>
      </c>
      <c r="C10" s="67" t="s">
        <v>270</v>
      </c>
      <c r="D10" s="33" t="s">
        <v>271</v>
      </c>
      <c r="E10" s="5"/>
      <c r="F10" s="5"/>
    </row>
    <row r="11" customFormat="false" ht="43.5" hidden="false" customHeight="true" outlineLevel="0" collapsed="false">
      <c r="B11" s="34" t="s">
        <v>272</v>
      </c>
      <c r="C11" s="68" t="s">
        <v>273</v>
      </c>
      <c r="D11" s="36" t="s">
        <v>274</v>
      </c>
      <c r="E11" s="5"/>
      <c r="F11" s="5"/>
    </row>
    <row r="12" customFormat="false" ht="43.5" hidden="false" customHeight="true" outlineLevel="0" collapsed="false">
      <c r="B12" s="31" t="s">
        <v>275</v>
      </c>
      <c r="C12" s="69" t="s">
        <v>276</v>
      </c>
      <c r="D12" s="33" t="s">
        <v>277</v>
      </c>
      <c r="E12" s="5"/>
      <c r="F12" s="5"/>
    </row>
    <row r="14" customFormat="false" ht="21.75" hidden="false" customHeight="true" outlineLevel="0" collapsed="false">
      <c r="B14" s="30" t="s">
        <v>278</v>
      </c>
      <c r="C14" s="30"/>
      <c r="D14" s="30"/>
      <c r="E14" s="30"/>
    </row>
    <row r="15" customFormat="false" ht="25.5" hidden="false" customHeight="true" outlineLevel="0" collapsed="false">
      <c r="B15" s="9" t="s">
        <v>279</v>
      </c>
      <c r="C15" s="9" t="s">
        <v>88</v>
      </c>
      <c r="D15" s="9" t="s">
        <v>280</v>
      </c>
      <c r="E15" s="9" t="s">
        <v>281</v>
      </c>
    </row>
    <row r="16" customFormat="false" ht="15" hidden="false" customHeight="true" outlineLevel="0" collapsed="false">
      <c r="B16" s="31" t="s">
        <v>282</v>
      </c>
      <c r="C16" s="16" t="s">
        <v>283</v>
      </c>
      <c r="D16" s="19" t="s">
        <v>284</v>
      </c>
      <c r="E16" s="33" t="s">
        <v>285</v>
      </c>
    </row>
    <row r="17" customFormat="false" ht="15" hidden="false" customHeight="true" outlineLevel="0" collapsed="false">
      <c r="B17" s="34" t="s">
        <v>286</v>
      </c>
      <c r="C17" s="25" t="s">
        <v>287</v>
      </c>
      <c r="D17" s="12" t="s">
        <v>284</v>
      </c>
      <c r="E17" s="36" t="s">
        <v>288</v>
      </c>
    </row>
    <row r="18" customFormat="false" ht="15" hidden="false" customHeight="true" outlineLevel="0" collapsed="false">
      <c r="B18" s="31" t="s">
        <v>289</v>
      </c>
      <c r="C18" s="16" t="s">
        <v>290</v>
      </c>
      <c r="D18" s="19" t="s">
        <v>291</v>
      </c>
      <c r="E18" s="33" t="s">
        <v>292</v>
      </c>
    </row>
    <row r="19" customFormat="false" ht="15" hidden="false" customHeight="true" outlineLevel="0" collapsed="false">
      <c r="B19" s="34" t="s">
        <v>293</v>
      </c>
      <c r="C19" s="25" t="s">
        <v>294</v>
      </c>
      <c r="D19" s="12" t="s">
        <v>284</v>
      </c>
      <c r="E19" s="36" t="s">
        <v>295</v>
      </c>
    </row>
    <row r="20" customFormat="false" ht="15" hidden="false" customHeight="true" outlineLevel="0" collapsed="false">
      <c r="B20" s="31" t="s">
        <v>296</v>
      </c>
      <c r="C20" s="16" t="s">
        <v>297</v>
      </c>
      <c r="D20" s="19" t="s">
        <v>284</v>
      </c>
      <c r="E20" s="33" t="s">
        <v>298</v>
      </c>
    </row>
    <row r="21" customFormat="false" ht="15" hidden="false" customHeight="true" outlineLevel="0" collapsed="false">
      <c r="B21" s="34" t="s">
        <v>299</v>
      </c>
      <c r="C21" s="25" t="s">
        <v>300</v>
      </c>
      <c r="D21" s="12" t="s">
        <v>284</v>
      </c>
      <c r="E21" s="36" t="s">
        <v>301</v>
      </c>
    </row>
    <row r="22" customFormat="false" ht="15" hidden="false" customHeight="true" outlineLevel="0" collapsed="false">
      <c r="B22" s="31" t="s">
        <v>302</v>
      </c>
      <c r="C22" s="16" t="s">
        <v>303</v>
      </c>
      <c r="D22" s="19" t="s">
        <v>284</v>
      </c>
      <c r="E22" s="33" t="s">
        <v>304</v>
      </c>
    </row>
    <row r="23" customFormat="false" ht="15" hidden="false" customHeight="true" outlineLevel="0" collapsed="false">
      <c r="B23" s="34" t="s">
        <v>305</v>
      </c>
      <c r="C23" s="25" t="s">
        <v>306</v>
      </c>
      <c r="D23" s="12" t="s">
        <v>284</v>
      </c>
      <c r="E23" s="36" t="s">
        <v>307</v>
      </c>
    </row>
    <row r="24" customFormat="false" ht="15" hidden="false" customHeight="true" outlineLevel="0" collapsed="false">
      <c r="B24" s="31" t="s">
        <v>308</v>
      </c>
      <c r="C24" s="16" t="s">
        <v>309</v>
      </c>
      <c r="D24" s="19" t="s">
        <v>284</v>
      </c>
      <c r="E24" s="33" t="s">
        <v>310</v>
      </c>
    </row>
    <row r="25" customFormat="false" ht="15" hidden="false" customHeight="true" outlineLevel="0" collapsed="false">
      <c r="B25" s="34" t="s">
        <v>311</v>
      </c>
      <c r="C25" s="25" t="s">
        <v>312</v>
      </c>
      <c r="D25" s="12" t="s">
        <v>291</v>
      </c>
      <c r="E25" s="36" t="s">
        <v>298</v>
      </c>
    </row>
    <row r="26" customFormat="false" ht="15" hidden="false" customHeight="true" outlineLevel="0" collapsed="false">
      <c r="B26" s="31" t="s">
        <v>313</v>
      </c>
      <c r="C26" s="16" t="s">
        <v>312</v>
      </c>
      <c r="D26" s="19" t="s">
        <v>291</v>
      </c>
      <c r="E26" s="33" t="s">
        <v>314</v>
      </c>
    </row>
    <row r="27" customFormat="false" ht="15" hidden="false" customHeight="true" outlineLevel="0" collapsed="false">
      <c r="B27" s="34" t="s">
        <v>315</v>
      </c>
      <c r="C27" s="25" t="s">
        <v>316</v>
      </c>
      <c r="D27" s="12" t="s">
        <v>317</v>
      </c>
      <c r="E27" s="36" t="s">
        <v>318</v>
      </c>
    </row>
    <row r="28" customFormat="false" ht="15" hidden="false" customHeight="true" outlineLevel="0" collapsed="false">
      <c r="B28" s="31" t="s">
        <v>319</v>
      </c>
      <c r="C28" s="16" t="s">
        <v>320</v>
      </c>
      <c r="D28" s="19" t="s">
        <v>321</v>
      </c>
      <c r="E28" s="33" t="s">
        <v>322</v>
      </c>
    </row>
    <row r="30" customFormat="false" ht="26.25" hidden="false" customHeight="true" outlineLevel="0" collapsed="false">
      <c r="B30" s="26" t="s">
        <v>323</v>
      </c>
      <c r="C30" s="26"/>
      <c r="D30" s="26"/>
      <c r="E30" s="26"/>
    </row>
    <row r="31" customFormat="false" ht="26.25" hidden="false" customHeight="true" outlineLevel="0" collapsed="false">
      <c r="B31" s="29" t="s">
        <v>324</v>
      </c>
      <c r="C31" s="29"/>
      <c r="D31" s="29"/>
      <c r="E31" s="29"/>
    </row>
  </sheetData>
  <mergeCells count="6">
    <mergeCell ref="A1:E1"/>
    <mergeCell ref="A2:E2"/>
    <mergeCell ref="B4:E4"/>
    <mergeCell ref="B14:E14"/>
    <mergeCell ref="B30:E30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4B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44"/>
  </cols>
  <sheetData>
    <row r="1" customFormat="false" ht="33.75" hidden="false" customHeight="true" outlineLevel="0" collapsed="false">
      <c r="A1" s="2" t="s">
        <v>325</v>
      </c>
      <c r="B1" s="2"/>
      <c r="C1" s="2"/>
      <c r="D1" s="2"/>
      <c r="E1" s="2"/>
    </row>
    <row r="2" customFormat="false" ht="18" hidden="false" customHeight="true" outlineLevel="0" collapsed="false">
      <c r="A2" s="48" t="s">
        <v>326</v>
      </c>
      <c r="B2" s="48"/>
      <c r="C2" s="48"/>
      <c r="D2" s="48"/>
      <c r="E2" s="48"/>
    </row>
    <row r="4" customFormat="false" ht="21.75" hidden="false" customHeight="true" outlineLevel="0" collapsed="false">
      <c r="B4" s="30" t="s">
        <v>327</v>
      </c>
      <c r="C4" s="30"/>
      <c r="D4" s="30"/>
      <c r="E4" s="30"/>
    </row>
    <row r="5" customFormat="false" ht="25.5" hidden="false" customHeight="true" outlineLevel="0" collapsed="false">
      <c r="B5" s="9" t="s">
        <v>135</v>
      </c>
      <c r="C5" s="9" t="s">
        <v>136</v>
      </c>
      <c r="D5" s="9" t="s">
        <v>149</v>
      </c>
      <c r="E5" s="9" t="s">
        <v>90</v>
      </c>
    </row>
    <row r="6" customFormat="false" ht="15" hidden="false" customHeight="true" outlineLevel="0" collapsed="false">
      <c r="B6" s="39" t="s">
        <v>328</v>
      </c>
      <c r="C6" s="42" t="n">
        <v>10</v>
      </c>
      <c r="D6" s="17" t="s">
        <v>329</v>
      </c>
      <c r="E6" s="33" t="s">
        <v>330</v>
      </c>
    </row>
    <row r="7" customFormat="false" ht="15" hidden="false" customHeight="true" outlineLevel="0" collapsed="false">
      <c r="B7" s="11" t="s">
        <v>331</v>
      </c>
      <c r="C7" s="44" t="n">
        <v>6</v>
      </c>
      <c r="D7" s="13" t="s">
        <v>329</v>
      </c>
      <c r="E7" s="36" t="s">
        <v>332</v>
      </c>
    </row>
    <row r="8" customFormat="false" ht="15" hidden="false" customHeight="true" outlineLevel="0" collapsed="false">
      <c r="B8" s="39" t="s">
        <v>333</v>
      </c>
      <c r="C8" s="70" t="s">
        <v>334</v>
      </c>
      <c r="D8" s="49" t="s">
        <v>335</v>
      </c>
      <c r="E8" s="33" t="s">
        <v>336</v>
      </c>
    </row>
    <row r="9" customFormat="false" ht="15" hidden="false" customHeight="true" outlineLevel="0" collapsed="false">
      <c r="B9" s="34" t="s">
        <v>337</v>
      </c>
      <c r="C9" s="46" t="n">
        <f aca="false">C6*C7</f>
        <v>60</v>
      </c>
      <c r="D9" s="13" t="s">
        <v>329</v>
      </c>
      <c r="E9" s="36" t="s">
        <v>338</v>
      </c>
    </row>
    <row r="11" customFormat="false" ht="21.75" hidden="false" customHeight="true" outlineLevel="0" collapsed="false">
      <c r="B11" s="30" t="s">
        <v>339</v>
      </c>
      <c r="C11" s="30"/>
      <c r="D11" s="30"/>
      <c r="E11" s="30"/>
    </row>
    <row r="12" customFormat="false" ht="25.5" hidden="false" customHeight="true" outlineLevel="0" collapsed="false">
      <c r="B12" s="9" t="s">
        <v>340</v>
      </c>
      <c r="C12" s="9" t="s">
        <v>341</v>
      </c>
      <c r="D12" s="9" t="s">
        <v>342</v>
      </c>
      <c r="E12" s="9" t="s">
        <v>12</v>
      </c>
    </row>
    <row r="13" customFormat="false" ht="15" hidden="false" customHeight="true" outlineLevel="0" collapsed="false">
      <c r="B13" s="68" t="s">
        <v>343</v>
      </c>
      <c r="C13" s="59" t="s">
        <v>344</v>
      </c>
      <c r="D13" s="10" t="s">
        <v>19</v>
      </c>
      <c r="E13" s="12" t="s">
        <v>345</v>
      </c>
    </row>
    <row r="14" customFormat="false" ht="29.25" hidden="false" customHeight="true" outlineLevel="0" collapsed="false">
      <c r="B14" s="67" t="s">
        <v>346</v>
      </c>
      <c r="C14" s="57" t="s">
        <v>347</v>
      </c>
      <c r="D14" s="14" t="s">
        <v>23</v>
      </c>
      <c r="E14" s="19" t="s">
        <v>348</v>
      </c>
    </row>
    <row r="15" customFormat="false" ht="29.25" hidden="false" customHeight="true" outlineLevel="0" collapsed="false">
      <c r="B15" s="68" t="s">
        <v>349</v>
      </c>
      <c r="C15" s="59" t="s">
        <v>350</v>
      </c>
      <c r="D15" s="10" t="s">
        <v>31</v>
      </c>
      <c r="E15" s="12" t="s">
        <v>351</v>
      </c>
    </row>
    <row r="16" customFormat="false" ht="15" hidden="false" customHeight="true" outlineLevel="0" collapsed="false">
      <c r="B16" s="67" t="s">
        <v>352</v>
      </c>
      <c r="C16" s="57" t="s">
        <v>353</v>
      </c>
      <c r="D16" s="14" t="s">
        <v>37</v>
      </c>
      <c r="E16" s="19" t="s">
        <v>354</v>
      </c>
    </row>
    <row r="17" customFormat="false" ht="15" hidden="false" customHeight="true" outlineLevel="0" collapsed="false">
      <c r="B17" s="68" t="s">
        <v>355</v>
      </c>
      <c r="C17" s="59" t="s">
        <v>344</v>
      </c>
      <c r="D17" s="10" t="s">
        <v>19</v>
      </c>
      <c r="E17" s="12" t="s">
        <v>356</v>
      </c>
    </row>
    <row r="19" customFormat="false" ht="21.75" hidden="false" customHeight="true" outlineLevel="0" collapsed="false">
      <c r="B19" s="30" t="s">
        <v>357</v>
      </c>
      <c r="C19" s="30"/>
      <c r="D19" s="30"/>
      <c r="E19" s="30"/>
    </row>
    <row r="20" customFormat="false" ht="25.5" hidden="false" customHeight="true" outlineLevel="0" collapsed="false">
      <c r="B20" s="9" t="s">
        <v>358</v>
      </c>
      <c r="C20" s="9" t="s">
        <v>356</v>
      </c>
      <c r="D20" s="9" t="s">
        <v>359</v>
      </c>
      <c r="E20" s="9" t="s">
        <v>12</v>
      </c>
    </row>
    <row r="21" customFormat="false" ht="15" hidden="false" customHeight="true" outlineLevel="0" collapsed="false">
      <c r="B21" s="68" t="s">
        <v>360</v>
      </c>
      <c r="C21" s="71" t="s">
        <v>361</v>
      </c>
      <c r="D21" s="10" t="s">
        <v>19</v>
      </c>
      <c r="E21" s="12" t="s">
        <v>362</v>
      </c>
    </row>
    <row r="22" customFormat="false" ht="15" hidden="false" customHeight="true" outlineLevel="0" collapsed="false">
      <c r="B22" s="67" t="s">
        <v>363</v>
      </c>
      <c r="C22" s="72" t="s">
        <v>364</v>
      </c>
      <c r="D22" s="14" t="s">
        <v>365</v>
      </c>
      <c r="E22" s="19" t="s">
        <v>366</v>
      </c>
    </row>
    <row r="23" customFormat="false" ht="15" hidden="false" customHeight="true" outlineLevel="0" collapsed="false">
      <c r="B23" s="68" t="s">
        <v>367</v>
      </c>
      <c r="C23" s="73" t="s">
        <v>364</v>
      </c>
      <c r="D23" s="10" t="s">
        <v>368</v>
      </c>
      <c r="E23" s="12" t="s">
        <v>369</v>
      </c>
    </row>
    <row r="24" customFormat="false" ht="15" hidden="false" customHeight="true" outlineLevel="0" collapsed="false">
      <c r="B24" s="67" t="s">
        <v>370</v>
      </c>
      <c r="C24" s="72" t="s">
        <v>364</v>
      </c>
      <c r="D24" s="74" t="s">
        <v>334</v>
      </c>
      <c r="E24" s="19" t="s">
        <v>371</v>
      </c>
    </row>
    <row r="26" customFormat="false" ht="26.25" hidden="false" customHeight="true" outlineLevel="0" collapsed="false">
      <c r="B26" s="26" t="s">
        <v>372</v>
      </c>
      <c r="C26" s="26"/>
      <c r="D26" s="26"/>
      <c r="E26" s="26"/>
    </row>
    <row r="27" customFormat="false" ht="26.25" hidden="false" customHeight="true" outlineLevel="0" collapsed="false">
      <c r="B27" s="29" t="s">
        <v>373</v>
      </c>
      <c r="C27" s="29"/>
      <c r="D27" s="29"/>
      <c r="E27" s="29"/>
    </row>
  </sheetData>
  <mergeCells count="7">
    <mergeCell ref="A1:E1"/>
    <mergeCell ref="A2:E2"/>
    <mergeCell ref="B4:E4"/>
    <mergeCell ref="B11:E11"/>
    <mergeCell ref="B19:E19"/>
    <mergeCell ref="B26:E2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732B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5" min="2" style="1" width="12"/>
    <col collapsed="false" customWidth="true" hidden="false" outlineLevel="0" max="6" min="6" style="1" width="11"/>
    <col collapsed="false" customWidth="true" hidden="false" outlineLevel="0" max="7" min="7" style="1" width="34"/>
  </cols>
  <sheetData>
    <row r="1" customFormat="false" ht="33.75" hidden="false" customHeight="true" outlineLevel="0" collapsed="false">
      <c r="A1" s="2" t="s">
        <v>374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48" t="s">
        <v>375</v>
      </c>
      <c r="B2" s="48"/>
      <c r="C2" s="48"/>
      <c r="D2" s="48"/>
      <c r="E2" s="48"/>
      <c r="F2" s="48"/>
      <c r="G2" s="48"/>
    </row>
    <row r="4" customFormat="false" ht="21.75" hidden="false" customHeight="true" outlineLevel="0" collapsed="false">
      <c r="B4" s="30" t="s">
        <v>376</v>
      </c>
      <c r="C4" s="30"/>
      <c r="D4" s="30"/>
      <c r="E4" s="30"/>
      <c r="F4" s="30"/>
      <c r="G4" s="30"/>
    </row>
    <row r="5" customFormat="false" ht="25.5" hidden="false" customHeight="true" outlineLevel="0" collapsed="false">
      <c r="B5" s="9" t="s">
        <v>377</v>
      </c>
      <c r="C5" s="9" t="s">
        <v>88</v>
      </c>
      <c r="D5" s="9" t="s">
        <v>378</v>
      </c>
      <c r="E5" s="9" t="s">
        <v>379</v>
      </c>
      <c r="F5" s="9" t="s">
        <v>380</v>
      </c>
      <c r="G5" s="9" t="s">
        <v>381</v>
      </c>
    </row>
    <row r="6" customFormat="false" ht="15" hidden="false" customHeight="true" outlineLevel="0" collapsed="false">
      <c r="B6" s="75" t="s">
        <v>382</v>
      </c>
      <c r="C6" s="76" t="s">
        <v>383</v>
      </c>
      <c r="D6" s="74" t="s">
        <v>384</v>
      </c>
      <c r="E6" s="32" t="s">
        <v>385</v>
      </c>
      <c r="F6" s="41" t="s">
        <v>386</v>
      </c>
      <c r="G6" s="33" t="s">
        <v>387</v>
      </c>
    </row>
    <row r="7" customFormat="false" ht="15" hidden="false" customHeight="true" outlineLevel="0" collapsed="false">
      <c r="B7" s="77" t="s">
        <v>388</v>
      </c>
      <c r="C7" s="78" t="s">
        <v>389</v>
      </c>
      <c r="D7" s="79" t="s">
        <v>390</v>
      </c>
      <c r="E7" s="35" t="s">
        <v>391</v>
      </c>
      <c r="F7" s="38" t="s">
        <v>392</v>
      </c>
      <c r="G7" s="36" t="s">
        <v>393</v>
      </c>
    </row>
    <row r="8" customFormat="false" ht="15" hidden="false" customHeight="true" outlineLevel="0" collapsed="false">
      <c r="B8" s="80" t="s">
        <v>394</v>
      </c>
      <c r="C8" s="81" t="s">
        <v>395</v>
      </c>
      <c r="D8" s="74" t="s">
        <v>396</v>
      </c>
      <c r="E8" s="32" t="s">
        <v>397</v>
      </c>
      <c r="F8" s="41" t="s">
        <v>398</v>
      </c>
      <c r="G8" s="33" t="s">
        <v>399</v>
      </c>
    </row>
    <row r="9" customFormat="false" ht="15" hidden="false" customHeight="true" outlineLevel="0" collapsed="false">
      <c r="B9" s="82" t="s">
        <v>400</v>
      </c>
      <c r="C9" s="83" t="s">
        <v>401</v>
      </c>
      <c r="D9" s="79" t="s">
        <v>402</v>
      </c>
      <c r="E9" s="84" t="s">
        <v>403</v>
      </c>
      <c r="F9" s="38" t="s">
        <v>404</v>
      </c>
      <c r="G9" s="36" t="s">
        <v>405</v>
      </c>
    </row>
    <row r="10" customFormat="false" ht="15" hidden="false" customHeight="true" outlineLevel="0" collapsed="false">
      <c r="B10" s="85" t="s">
        <v>406</v>
      </c>
      <c r="C10" s="86" t="s">
        <v>407</v>
      </c>
      <c r="D10" s="74" t="s">
        <v>408</v>
      </c>
      <c r="E10" s="70" t="s">
        <v>409</v>
      </c>
      <c r="F10" s="41" t="s">
        <v>410</v>
      </c>
      <c r="G10" s="33" t="s">
        <v>411</v>
      </c>
    </row>
    <row r="11" customFormat="false" ht="15" hidden="false" customHeight="true" outlineLevel="0" collapsed="false">
      <c r="B11" s="87" t="s">
        <v>412</v>
      </c>
      <c r="C11" s="88" t="s">
        <v>413</v>
      </c>
      <c r="D11" s="79" t="s">
        <v>414</v>
      </c>
      <c r="E11" s="84" t="s">
        <v>415</v>
      </c>
      <c r="F11" s="38" t="s">
        <v>416</v>
      </c>
      <c r="G11" s="36" t="s">
        <v>417</v>
      </c>
    </row>
    <row r="12" customFormat="false" ht="15" hidden="false" customHeight="true" outlineLevel="0" collapsed="false">
      <c r="B12" s="89" t="s">
        <v>418</v>
      </c>
      <c r="C12" s="90" t="s">
        <v>419</v>
      </c>
      <c r="D12" s="74" t="s">
        <v>420</v>
      </c>
      <c r="E12" s="70" t="s">
        <v>421</v>
      </c>
      <c r="F12" s="41" t="s">
        <v>422</v>
      </c>
      <c r="G12" s="33" t="s">
        <v>423</v>
      </c>
    </row>
    <row r="14" customFormat="false" ht="26.25" hidden="false" customHeight="true" outlineLevel="0" collapsed="false">
      <c r="B14" s="26" t="s">
        <v>424</v>
      </c>
      <c r="C14" s="26"/>
      <c r="D14" s="26"/>
      <c r="E14" s="26"/>
      <c r="F14" s="26"/>
      <c r="G14" s="26"/>
    </row>
    <row r="15" customFormat="false" ht="26.25" hidden="false" customHeight="true" outlineLevel="0" collapsed="false">
      <c r="B15" s="26" t="s">
        <v>425</v>
      </c>
      <c r="C15" s="26"/>
      <c r="D15" s="26"/>
      <c r="E15" s="26"/>
      <c r="F15" s="26"/>
      <c r="G15" s="26"/>
    </row>
    <row r="17" customFormat="false" ht="21.75" hidden="false" customHeight="true" outlineLevel="0" collapsed="false">
      <c r="B17" s="30" t="s">
        <v>426</v>
      </c>
      <c r="C17" s="30"/>
      <c r="D17" s="30"/>
      <c r="E17" s="30"/>
      <c r="F17" s="30"/>
      <c r="G17" s="30"/>
    </row>
    <row r="18" customFormat="false" ht="25.5" hidden="false" customHeight="true" outlineLevel="0" collapsed="false">
      <c r="B18" s="9" t="s">
        <v>377</v>
      </c>
      <c r="C18" s="9" t="s">
        <v>427</v>
      </c>
      <c r="D18" s="9" t="s">
        <v>428</v>
      </c>
      <c r="E18" s="9" t="s">
        <v>429</v>
      </c>
      <c r="F18" s="9"/>
      <c r="G18" s="9"/>
      <c r="H18" s="9"/>
    </row>
    <row r="19" customFormat="false" ht="29.25" hidden="false" customHeight="true" outlineLevel="0" collapsed="false">
      <c r="B19" s="91" t="s">
        <v>382</v>
      </c>
      <c r="C19" s="92" t="n">
        <v>0</v>
      </c>
      <c r="D19" s="46" t="n">
        <f aca="false">$C$26*C19</f>
        <v>0</v>
      </c>
      <c r="E19" s="36" t="s">
        <v>430</v>
      </c>
      <c r="F19" s="25"/>
      <c r="G19" s="25"/>
      <c r="H19" s="5"/>
    </row>
    <row r="20" customFormat="false" ht="29.25" hidden="false" customHeight="true" outlineLevel="0" collapsed="false">
      <c r="B20" s="93" t="s">
        <v>388</v>
      </c>
      <c r="C20" s="94" t="n">
        <v>0.4</v>
      </c>
      <c r="D20" s="47" t="n">
        <f aca="false">$C$26*C20</f>
        <v>200</v>
      </c>
      <c r="E20" s="33" t="s">
        <v>430</v>
      </c>
      <c r="F20" s="16"/>
      <c r="G20" s="16"/>
      <c r="H20" s="5"/>
    </row>
    <row r="21" customFormat="false" ht="29.25" hidden="false" customHeight="true" outlineLevel="0" collapsed="false">
      <c r="B21" s="95" t="s">
        <v>394</v>
      </c>
      <c r="C21" s="92" t="n">
        <v>0.7</v>
      </c>
      <c r="D21" s="46" t="n">
        <f aca="false">$C$26*C21</f>
        <v>350</v>
      </c>
      <c r="E21" s="36" t="s">
        <v>430</v>
      </c>
      <c r="F21" s="25"/>
      <c r="G21" s="25"/>
      <c r="H21" s="5"/>
    </row>
    <row r="22" customFormat="false" ht="29.25" hidden="false" customHeight="true" outlineLevel="0" collapsed="false">
      <c r="B22" s="96" t="s">
        <v>400</v>
      </c>
      <c r="C22" s="94" t="n">
        <v>1</v>
      </c>
      <c r="D22" s="47" t="n">
        <f aca="false">$C$26*C22</f>
        <v>500</v>
      </c>
      <c r="E22" s="33" t="s">
        <v>430</v>
      </c>
      <c r="F22" s="16"/>
      <c r="G22" s="16"/>
      <c r="H22" s="5"/>
    </row>
    <row r="23" customFormat="false" ht="29.25" hidden="false" customHeight="true" outlineLevel="0" collapsed="false">
      <c r="B23" s="97" t="s">
        <v>406</v>
      </c>
      <c r="C23" s="92" t="n">
        <v>1</v>
      </c>
      <c r="D23" s="46" t="n">
        <f aca="false">$C$26*C23</f>
        <v>500</v>
      </c>
      <c r="E23" s="36" t="s">
        <v>430</v>
      </c>
      <c r="F23" s="25"/>
      <c r="G23" s="25"/>
      <c r="H23" s="5"/>
    </row>
    <row r="24" customFormat="false" ht="29.25" hidden="false" customHeight="true" outlineLevel="0" collapsed="false">
      <c r="B24" s="98" t="s">
        <v>412</v>
      </c>
      <c r="C24" s="94" t="n">
        <v>1.3</v>
      </c>
      <c r="D24" s="47" t="n">
        <f aca="false">$C$26*C24</f>
        <v>650</v>
      </c>
      <c r="E24" s="33" t="s">
        <v>430</v>
      </c>
      <c r="F24" s="16"/>
      <c r="G24" s="16"/>
      <c r="H24" s="5"/>
    </row>
    <row r="25" customFormat="false" ht="29.25" hidden="false" customHeight="true" outlineLevel="0" collapsed="false">
      <c r="B25" s="63" t="s">
        <v>418</v>
      </c>
      <c r="C25" s="92" t="n">
        <v>1.3</v>
      </c>
      <c r="D25" s="46" t="n">
        <f aca="false">$C$26*C25</f>
        <v>650</v>
      </c>
      <c r="E25" s="36" t="s">
        <v>430</v>
      </c>
      <c r="F25" s="25"/>
      <c r="G25" s="25"/>
      <c r="H25" s="5"/>
    </row>
    <row r="26" customFormat="false" ht="29.25" hidden="false" customHeight="true" outlineLevel="0" collapsed="false">
      <c r="B26" s="31" t="s">
        <v>431</v>
      </c>
      <c r="C26" s="99" t="n">
        <v>500</v>
      </c>
      <c r="D26" s="33" t="s">
        <v>432</v>
      </c>
      <c r="E26" s="16"/>
      <c r="F26" s="16"/>
      <c r="G26" s="16"/>
      <c r="H26" s="5"/>
    </row>
    <row r="28" customFormat="false" ht="26.25" hidden="false" customHeight="true" outlineLevel="0" collapsed="false">
      <c r="B28" s="26" t="s">
        <v>433</v>
      </c>
      <c r="C28" s="26"/>
      <c r="D28" s="26"/>
      <c r="E28" s="26"/>
      <c r="F28" s="26"/>
      <c r="G28" s="26"/>
    </row>
  </sheetData>
  <mergeCells count="7">
    <mergeCell ref="A1:G1"/>
    <mergeCell ref="A2:G2"/>
    <mergeCell ref="B4:G4"/>
    <mergeCell ref="B14:G14"/>
    <mergeCell ref="B15:G15"/>
    <mergeCell ref="B17:G1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732B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5" min="3" style="1" width="13"/>
    <col collapsed="false" customWidth="true" hidden="false" outlineLevel="0" max="6" min="6" style="1" width="40"/>
  </cols>
  <sheetData>
    <row r="1" customFormat="false" ht="33.75" hidden="false" customHeight="true" outlineLevel="0" collapsed="false">
      <c r="A1" s="2" t="s">
        <v>434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48" t="s">
        <v>435</v>
      </c>
      <c r="B2" s="48"/>
      <c r="C2" s="48"/>
      <c r="D2" s="48"/>
      <c r="E2" s="48"/>
      <c r="F2" s="48"/>
    </row>
    <row r="4" customFormat="false" ht="21.75" hidden="false" customHeight="true" outlineLevel="0" collapsed="false">
      <c r="B4" s="30" t="s">
        <v>436</v>
      </c>
      <c r="C4" s="30"/>
      <c r="D4" s="30"/>
      <c r="E4" s="30"/>
      <c r="F4" s="30"/>
    </row>
    <row r="5" customFormat="false" ht="25.5" hidden="false" customHeight="true" outlineLevel="0" collapsed="false">
      <c r="B5" s="9" t="s">
        <v>437</v>
      </c>
      <c r="C5" s="9" t="s">
        <v>90</v>
      </c>
      <c r="D5" s="9"/>
      <c r="E5" s="9"/>
      <c r="F5" s="9"/>
      <c r="G5" s="9"/>
    </row>
    <row r="6" customFormat="false" ht="15" hidden="false" customHeight="true" outlineLevel="0" collapsed="false">
      <c r="B6" s="31" t="s">
        <v>438</v>
      </c>
      <c r="C6" s="33" t="s">
        <v>439</v>
      </c>
      <c r="D6" s="33"/>
      <c r="E6" s="33"/>
      <c r="F6" s="33"/>
    </row>
    <row r="7" customFormat="false" ht="15" hidden="false" customHeight="true" outlineLevel="0" collapsed="false">
      <c r="B7" s="34" t="s">
        <v>440</v>
      </c>
      <c r="C7" s="36" t="s">
        <v>441</v>
      </c>
      <c r="D7" s="36"/>
      <c r="E7" s="36"/>
      <c r="F7" s="36"/>
    </row>
    <row r="8" customFormat="false" ht="15" hidden="false" customHeight="true" outlineLevel="0" collapsed="false">
      <c r="B8" s="31" t="s">
        <v>442</v>
      </c>
      <c r="C8" s="33" t="s">
        <v>443</v>
      </c>
      <c r="D8" s="33"/>
      <c r="E8" s="33"/>
      <c r="F8" s="33"/>
    </row>
    <row r="10" customFormat="false" ht="21.75" hidden="false" customHeight="true" outlineLevel="0" collapsed="false">
      <c r="B10" s="30" t="s">
        <v>444</v>
      </c>
      <c r="C10" s="30"/>
      <c r="D10" s="30"/>
      <c r="E10" s="30"/>
      <c r="F10" s="30"/>
    </row>
    <row r="11" customFormat="false" ht="25.5" hidden="false" customHeight="true" outlineLevel="0" collapsed="false">
      <c r="B11" s="9" t="s">
        <v>445</v>
      </c>
      <c r="C11" s="9" t="s">
        <v>136</v>
      </c>
      <c r="D11" s="9"/>
      <c r="E11" s="9" t="s">
        <v>446</v>
      </c>
      <c r="F11" s="9" t="s">
        <v>136</v>
      </c>
      <c r="G11" s="9" t="s">
        <v>30</v>
      </c>
    </row>
    <row r="12" customFormat="false" ht="63" hidden="false" customHeight="true" outlineLevel="0" collapsed="false">
      <c r="B12" s="39" t="s">
        <v>447</v>
      </c>
      <c r="C12" s="42" t="n">
        <v>70</v>
      </c>
      <c r="D12" s="16"/>
      <c r="E12" s="31" t="s">
        <v>448</v>
      </c>
      <c r="F12" s="47" t="n">
        <f aca="false">MAX(1,MIN($C$12-3, $C$13))</f>
        <v>67</v>
      </c>
      <c r="G12" s="100" t="s">
        <v>449</v>
      </c>
    </row>
    <row r="13" customFormat="false" ht="51.75" hidden="false" customHeight="true" outlineLevel="0" collapsed="false">
      <c r="B13" s="11" t="s">
        <v>450</v>
      </c>
      <c r="C13" s="44" t="n">
        <v>70</v>
      </c>
      <c r="D13" s="25"/>
      <c r="E13" s="11" t="s">
        <v>451</v>
      </c>
      <c r="F13" s="44" t="n">
        <v>3</v>
      </c>
      <c r="G13" s="100" t="s">
        <v>452</v>
      </c>
    </row>
    <row r="15" customFormat="false" ht="15" hidden="false" customHeight="true" outlineLevel="0" collapsed="false">
      <c r="B15" s="29" t="s">
        <v>453</v>
      </c>
      <c r="C15" s="29"/>
      <c r="D15" s="29"/>
      <c r="E15" s="29"/>
      <c r="F15" s="29"/>
    </row>
    <row r="17" customFormat="false" ht="21.75" hidden="false" customHeight="true" outlineLevel="0" collapsed="false">
      <c r="B17" s="30" t="s">
        <v>454</v>
      </c>
      <c r="C17" s="30"/>
      <c r="D17" s="30"/>
      <c r="E17" s="30"/>
      <c r="F17" s="30"/>
    </row>
    <row r="18" customFormat="false" ht="25.5" hidden="false" customHeight="true" outlineLevel="0" collapsed="false">
      <c r="B18" s="8" t="s">
        <v>455</v>
      </c>
      <c r="C18" s="9" t="s">
        <v>456</v>
      </c>
      <c r="D18" s="9" t="s">
        <v>457</v>
      </c>
      <c r="E18" s="9" t="s">
        <v>458</v>
      </c>
      <c r="F18" s="9" t="s">
        <v>459</v>
      </c>
      <c r="G18" s="9"/>
    </row>
    <row r="19" customFormat="false" ht="15" hidden="false" customHeight="true" outlineLevel="0" collapsed="false">
      <c r="B19" s="35" t="s">
        <v>460</v>
      </c>
      <c r="C19" s="10" t="s">
        <v>461</v>
      </c>
      <c r="D19" s="38" t="n">
        <v>3</v>
      </c>
      <c r="E19" s="38" t="n">
        <v>12</v>
      </c>
      <c r="F19" s="12" t="s">
        <v>462</v>
      </c>
      <c r="G19" s="5"/>
    </row>
    <row r="20" customFormat="false" ht="15" hidden="false" customHeight="true" outlineLevel="0" collapsed="false">
      <c r="B20" s="32" t="s">
        <v>463</v>
      </c>
      <c r="C20" s="14" t="s">
        <v>464</v>
      </c>
      <c r="D20" s="41" t="n">
        <v>13</v>
      </c>
      <c r="E20" s="41" t="n">
        <v>45</v>
      </c>
      <c r="F20" s="19" t="s">
        <v>465</v>
      </c>
      <c r="G20" s="5"/>
    </row>
    <row r="21" customFormat="false" ht="15" hidden="false" customHeight="true" outlineLevel="0" collapsed="false">
      <c r="B21" s="35" t="s">
        <v>466</v>
      </c>
      <c r="C21" s="10" t="s">
        <v>467</v>
      </c>
      <c r="D21" s="38" t="n">
        <v>46</v>
      </c>
      <c r="E21" s="38" t="n">
        <v>120</v>
      </c>
      <c r="F21" s="12" t="s">
        <v>468</v>
      </c>
      <c r="G21" s="5"/>
    </row>
    <row r="22" customFormat="false" ht="15" hidden="false" customHeight="true" outlineLevel="0" collapsed="false">
      <c r="B22" s="32" t="s">
        <v>469</v>
      </c>
      <c r="C22" s="14" t="s">
        <v>470</v>
      </c>
      <c r="D22" s="41" t="n">
        <v>121</v>
      </c>
      <c r="E22" s="41" t="n">
        <v>400</v>
      </c>
      <c r="F22" s="19" t="s">
        <v>471</v>
      </c>
      <c r="G22" s="5"/>
    </row>
    <row r="23" customFormat="false" ht="15" hidden="false" customHeight="true" outlineLevel="0" collapsed="false">
      <c r="B23" s="35" t="s">
        <v>472</v>
      </c>
      <c r="C23" s="10" t="s">
        <v>473</v>
      </c>
      <c r="D23" s="38" t="n">
        <v>401</v>
      </c>
      <c r="E23" s="38" t="n">
        <v>700</v>
      </c>
      <c r="F23" s="12" t="s">
        <v>474</v>
      </c>
      <c r="G23" s="5"/>
    </row>
    <row r="25" customFormat="false" ht="21.75" hidden="false" customHeight="true" outlineLevel="0" collapsed="false">
      <c r="B25" s="30" t="s">
        <v>475</v>
      </c>
      <c r="C25" s="30"/>
      <c r="D25" s="30"/>
      <c r="E25" s="30"/>
      <c r="F25" s="30"/>
    </row>
    <row r="26" customFormat="false" ht="25.5" hidden="false" customHeight="true" outlineLevel="0" collapsed="false">
      <c r="B26" s="9" t="s">
        <v>340</v>
      </c>
      <c r="C26" s="9" t="s">
        <v>476</v>
      </c>
      <c r="D26" s="9"/>
      <c r="E26" s="9"/>
      <c r="F26" s="9"/>
      <c r="G26" s="9"/>
    </row>
    <row r="27" customFormat="false" ht="15" hidden="false" customHeight="true" outlineLevel="0" collapsed="false">
      <c r="B27" s="11" t="s">
        <v>477</v>
      </c>
      <c r="C27" s="34" t="s">
        <v>130</v>
      </c>
      <c r="D27" s="34"/>
      <c r="E27" s="34"/>
      <c r="F27" s="34"/>
    </row>
    <row r="28" customFormat="false" ht="15" hidden="false" customHeight="true" outlineLevel="0" collapsed="false">
      <c r="B28" s="39" t="s">
        <v>478</v>
      </c>
      <c r="C28" s="31" t="s">
        <v>132</v>
      </c>
      <c r="D28" s="31"/>
      <c r="E28" s="31"/>
      <c r="F28" s="31"/>
    </row>
    <row r="29" customFormat="false" ht="15" hidden="false" customHeight="true" outlineLevel="0" collapsed="false">
      <c r="B29" s="11" t="s">
        <v>479</v>
      </c>
      <c r="C29" s="34" t="s">
        <v>131</v>
      </c>
      <c r="D29" s="34"/>
      <c r="E29" s="34"/>
      <c r="F29" s="34"/>
    </row>
    <row r="30" customFormat="false" ht="15" hidden="false" customHeight="true" outlineLevel="0" collapsed="false">
      <c r="B30" s="39" t="s">
        <v>480</v>
      </c>
      <c r="C30" s="31" t="s">
        <v>129</v>
      </c>
      <c r="D30" s="31"/>
      <c r="E30" s="31"/>
      <c r="F30" s="31"/>
    </row>
    <row r="31" customFormat="false" ht="15" hidden="false" customHeight="true" outlineLevel="0" collapsed="false">
      <c r="B31" s="11" t="s">
        <v>481</v>
      </c>
      <c r="C31" s="34" t="s">
        <v>128</v>
      </c>
      <c r="D31" s="34"/>
      <c r="E31" s="34"/>
      <c r="F31" s="34"/>
    </row>
    <row r="32" customFormat="false" ht="15" hidden="false" customHeight="true" outlineLevel="0" collapsed="false">
      <c r="B32" s="39" t="s">
        <v>482</v>
      </c>
      <c r="C32" s="31" t="s">
        <v>125</v>
      </c>
      <c r="D32" s="31"/>
      <c r="E32" s="31"/>
      <c r="F32" s="31"/>
    </row>
    <row r="34" customFormat="false" ht="26.25" hidden="false" customHeight="true" outlineLevel="0" collapsed="false">
      <c r="B34" s="26" t="s">
        <v>483</v>
      </c>
      <c r="C34" s="26"/>
      <c r="D34" s="26"/>
      <c r="E34" s="26"/>
      <c r="F34" s="26"/>
    </row>
  </sheetData>
  <mergeCells count="17">
    <mergeCell ref="A1:F1"/>
    <mergeCell ref="A2:F2"/>
    <mergeCell ref="B4:F4"/>
    <mergeCell ref="C6:F6"/>
    <mergeCell ref="C7:F7"/>
    <mergeCell ref="C8:F8"/>
    <mergeCell ref="B10:F10"/>
    <mergeCell ref="B15:F15"/>
    <mergeCell ref="B17:F17"/>
    <mergeCell ref="B25:F25"/>
    <mergeCell ref="C27:F27"/>
    <mergeCell ref="C28:F28"/>
    <mergeCell ref="C29:F29"/>
    <mergeCell ref="C30:F30"/>
    <mergeCell ref="C31:F31"/>
    <mergeCell ref="C32:F32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732B"/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6" min="5" style="1" width="13"/>
    <col collapsed="false" customWidth="true" hidden="false" outlineLevel="0" max="7" min="7" style="1" width="28"/>
  </cols>
  <sheetData>
    <row r="1" customFormat="false" ht="33.75" hidden="false" customHeight="true" outlineLevel="0" collapsed="false">
      <c r="A1" s="2" t="s">
        <v>484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48" t="s">
        <v>485</v>
      </c>
      <c r="B2" s="48"/>
      <c r="C2" s="48"/>
      <c r="D2" s="48"/>
      <c r="E2" s="48"/>
      <c r="F2" s="48"/>
      <c r="G2" s="48"/>
    </row>
    <row r="4" customFormat="false" ht="21.75" hidden="false" customHeight="true" outlineLevel="0" collapsed="false">
      <c r="B4" s="30" t="s">
        <v>486</v>
      </c>
      <c r="C4" s="30"/>
      <c r="D4" s="30"/>
      <c r="E4" s="30"/>
      <c r="F4" s="30"/>
      <c r="G4" s="30"/>
    </row>
    <row r="5" customFormat="false" ht="25.5" hidden="false" customHeight="true" outlineLevel="0" collapsed="false">
      <c r="B5" s="9" t="s">
        <v>487</v>
      </c>
      <c r="C5" s="9" t="s">
        <v>89</v>
      </c>
      <c r="D5" s="9" t="s">
        <v>488</v>
      </c>
      <c r="E5" s="9" t="s">
        <v>489</v>
      </c>
      <c r="F5" s="9" t="s">
        <v>149</v>
      </c>
      <c r="G5" s="9" t="s">
        <v>490</v>
      </c>
    </row>
    <row r="6" customFormat="false" ht="15" hidden="false" customHeight="true" outlineLevel="0" collapsed="false">
      <c r="B6" s="31" t="s">
        <v>120</v>
      </c>
      <c r="C6" s="14" t="s">
        <v>491</v>
      </c>
      <c r="D6" s="101" t="n">
        <v>401</v>
      </c>
      <c r="E6" s="101" t="n">
        <v>700</v>
      </c>
      <c r="F6" s="49" t="s">
        <v>154</v>
      </c>
      <c r="G6" s="33" t="s">
        <v>492</v>
      </c>
    </row>
    <row r="7" customFormat="false" ht="15" hidden="false" customHeight="true" outlineLevel="0" collapsed="false">
      <c r="B7" s="34" t="s">
        <v>111</v>
      </c>
      <c r="C7" s="10" t="s">
        <v>113</v>
      </c>
      <c r="D7" s="102" t="n">
        <v>401</v>
      </c>
      <c r="E7" s="102" t="n">
        <v>700</v>
      </c>
      <c r="F7" s="50" t="s">
        <v>154</v>
      </c>
      <c r="G7" s="36" t="s">
        <v>492</v>
      </c>
    </row>
    <row r="8" customFormat="false" ht="15" hidden="false" customHeight="true" outlineLevel="0" collapsed="false">
      <c r="B8" s="31" t="s">
        <v>205</v>
      </c>
      <c r="C8" s="14" t="s">
        <v>493</v>
      </c>
      <c r="D8" s="103" t="n">
        <v>4.5</v>
      </c>
      <c r="E8" s="103" t="n">
        <v>6</v>
      </c>
      <c r="F8" s="49" t="s">
        <v>206</v>
      </c>
      <c r="G8" s="33" t="s">
        <v>494</v>
      </c>
    </row>
    <row r="9" customFormat="false" ht="15" hidden="false" customHeight="true" outlineLevel="0" collapsed="false">
      <c r="B9" s="34" t="s">
        <v>208</v>
      </c>
      <c r="C9" s="10" t="s">
        <v>495</v>
      </c>
      <c r="D9" s="102" t="n">
        <v>26</v>
      </c>
      <c r="E9" s="102" t="n">
        <v>50</v>
      </c>
      <c r="F9" s="50" t="s">
        <v>206</v>
      </c>
      <c r="G9" s="36" t="s">
        <v>496</v>
      </c>
    </row>
    <row r="10" customFormat="false" ht="15" hidden="false" customHeight="true" outlineLevel="0" collapsed="false">
      <c r="B10" s="31" t="s">
        <v>497</v>
      </c>
      <c r="C10" s="14" t="s">
        <v>498</v>
      </c>
      <c r="D10" s="101" t="n">
        <v>5</v>
      </c>
      <c r="E10" s="101" t="n">
        <v>7</v>
      </c>
      <c r="F10" s="49" t="s">
        <v>206</v>
      </c>
      <c r="G10" s="33" t="s">
        <v>499</v>
      </c>
    </row>
    <row r="11" customFormat="false" ht="15" hidden="false" customHeight="true" outlineLevel="0" collapsed="false">
      <c r="B11" s="34" t="s">
        <v>500</v>
      </c>
      <c r="C11" s="10" t="s">
        <v>501</v>
      </c>
      <c r="D11" s="102" t="n">
        <v>15</v>
      </c>
      <c r="E11" s="102" t="n">
        <v>20</v>
      </c>
      <c r="F11" s="50" t="s">
        <v>206</v>
      </c>
      <c r="G11" s="36" t="s">
        <v>502</v>
      </c>
    </row>
    <row r="12" customFormat="false" ht="15" hidden="false" customHeight="true" outlineLevel="0" collapsed="false">
      <c r="B12" s="31" t="s">
        <v>503</v>
      </c>
      <c r="C12" s="14" t="s">
        <v>504</v>
      </c>
      <c r="D12" s="101" t="n">
        <v>10</v>
      </c>
      <c r="E12" s="101" t="n">
        <v>15</v>
      </c>
      <c r="F12" s="49" t="s">
        <v>206</v>
      </c>
      <c r="G12" s="33" t="s">
        <v>505</v>
      </c>
    </row>
    <row r="13" customFormat="false" ht="15" hidden="false" customHeight="true" outlineLevel="0" collapsed="false">
      <c r="B13" s="34" t="s">
        <v>506</v>
      </c>
      <c r="C13" s="10" t="s">
        <v>507</v>
      </c>
      <c r="D13" s="104" t="n">
        <v>5.5</v>
      </c>
      <c r="E13" s="102" t="n">
        <v>8</v>
      </c>
      <c r="F13" s="50" t="s">
        <v>206</v>
      </c>
      <c r="G13" s="36" t="s">
        <v>508</v>
      </c>
    </row>
    <row r="14" customFormat="false" ht="15" hidden="false" customHeight="true" outlineLevel="0" collapsed="false">
      <c r="B14" s="31" t="s">
        <v>509</v>
      </c>
      <c r="C14" s="14" t="s">
        <v>510</v>
      </c>
      <c r="D14" s="103" t="n">
        <v>5.5</v>
      </c>
      <c r="E14" s="101" t="n">
        <v>8</v>
      </c>
      <c r="F14" s="49" t="s">
        <v>206</v>
      </c>
      <c r="G14" s="33" t="s">
        <v>511</v>
      </c>
    </row>
    <row r="16" customFormat="false" ht="21.75" hidden="false" customHeight="true" outlineLevel="0" collapsed="false">
      <c r="B16" s="30" t="s">
        <v>512</v>
      </c>
      <c r="C16" s="30"/>
      <c r="D16" s="30"/>
      <c r="E16" s="30"/>
      <c r="F16" s="30"/>
      <c r="G16" s="30"/>
    </row>
    <row r="17" customFormat="false" ht="25.5" hidden="false" customHeight="true" outlineLevel="0" collapsed="false">
      <c r="B17" s="9" t="s">
        <v>487</v>
      </c>
      <c r="C17" s="9" t="s">
        <v>89</v>
      </c>
      <c r="D17" s="9" t="s">
        <v>488</v>
      </c>
      <c r="E17" s="9" t="s">
        <v>489</v>
      </c>
      <c r="F17" s="9" t="s">
        <v>149</v>
      </c>
      <c r="G17" s="9" t="s">
        <v>513</v>
      </c>
    </row>
    <row r="18" customFormat="false" ht="15" hidden="false" customHeight="true" outlineLevel="0" collapsed="false">
      <c r="B18" s="39" t="s">
        <v>514</v>
      </c>
      <c r="C18" s="14" t="s">
        <v>515</v>
      </c>
      <c r="D18" s="101" t="n">
        <v>70</v>
      </c>
      <c r="E18" s="101" t="n">
        <v>90</v>
      </c>
      <c r="F18" s="17"/>
      <c r="G18" s="33" t="s">
        <v>516</v>
      </c>
    </row>
    <row r="19" customFormat="false" ht="15" hidden="false" customHeight="true" outlineLevel="0" collapsed="false">
      <c r="B19" s="11" t="s">
        <v>517</v>
      </c>
      <c r="C19" s="10" t="s">
        <v>518</v>
      </c>
      <c r="D19" s="102" t="n">
        <v>3000</v>
      </c>
      <c r="E19" s="102" t="n">
        <v>6000</v>
      </c>
      <c r="F19" s="50" t="s">
        <v>519</v>
      </c>
      <c r="G19" s="36" t="s">
        <v>520</v>
      </c>
    </row>
    <row r="20" customFormat="false" ht="15" hidden="false" customHeight="true" outlineLevel="0" collapsed="false">
      <c r="B20" s="39" t="s">
        <v>521</v>
      </c>
      <c r="C20" s="14" t="s">
        <v>522</v>
      </c>
      <c r="D20" s="101" t="n">
        <v>10</v>
      </c>
      <c r="E20" s="101" t="n">
        <v>12</v>
      </c>
      <c r="F20" s="49" t="s">
        <v>206</v>
      </c>
      <c r="G20" s="33" t="s">
        <v>523</v>
      </c>
    </row>
    <row r="21" customFormat="false" ht="15" hidden="false" customHeight="true" outlineLevel="0" collapsed="false">
      <c r="B21" s="11" t="s">
        <v>524</v>
      </c>
      <c r="C21" s="10" t="s">
        <v>525</v>
      </c>
      <c r="D21" s="102" t="n">
        <v>20</v>
      </c>
      <c r="E21" s="102" t="n">
        <v>30</v>
      </c>
      <c r="F21" s="50" t="s">
        <v>206</v>
      </c>
      <c r="G21" s="36" t="s">
        <v>526</v>
      </c>
    </row>
    <row r="22" customFormat="false" ht="15" hidden="false" customHeight="true" outlineLevel="0" collapsed="false">
      <c r="B22" s="39" t="s">
        <v>527</v>
      </c>
      <c r="C22" s="14" t="s">
        <v>528</v>
      </c>
      <c r="D22" s="101" t="n">
        <v>2000</v>
      </c>
      <c r="E22" s="101" t="n">
        <v>4000</v>
      </c>
      <c r="F22" s="17"/>
      <c r="G22" s="33" t="s">
        <v>529</v>
      </c>
    </row>
    <row r="23" customFormat="false" ht="15" hidden="false" customHeight="true" outlineLevel="0" collapsed="false">
      <c r="B23" s="11" t="s">
        <v>530</v>
      </c>
      <c r="C23" s="10" t="s">
        <v>531</v>
      </c>
      <c r="D23" s="102" t="n">
        <v>20</v>
      </c>
      <c r="E23" s="102" t="n">
        <v>30</v>
      </c>
      <c r="F23" s="50" t="s">
        <v>206</v>
      </c>
      <c r="G23" s="36" t="s">
        <v>532</v>
      </c>
    </row>
    <row r="24" customFormat="false" ht="15" hidden="false" customHeight="true" outlineLevel="0" collapsed="false">
      <c r="B24" s="39" t="s">
        <v>533</v>
      </c>
      <c r="C24" s="14" t="s">
        <v>534</v>
      </c>
      <c r="D24" s="101" t="n">
        <v>2000</v>
      </c>
      <c r="E24" s="101" t="n">
        <v>5000</v>
      </c>
      <c r="F24" s="17"/>
      <c r="G24" s="33" t="s">
        <v>535</v>
      </c>
    </row>
    <row r="26" customFormat="false" ht="26.25" hidden="false" customHeight="true" outlineLevel="0" collapsed="false">
      <c r="B26" s="26" t="s">
        <v>536</v>
      </c>
      <c r="C26" s="26"/>
      <c r="D26" s="26"/>
      <c r="E26" s="26"/>
      <c r="F26" s="26"/>
      <c r="G26" s="26"/>
    </row>
    <row r="27" customFormat="false" ht="26.25" hidden="false" customHeight="true" outlineLevel="0" collapsed="false">
      <c r="B27" s="29" t="s">
        <v>537</v>
      </c>
      <c r="C27" s="29"/>
      <c r="D27" s="29"/>
      <c r="E27" s="29"/>
      <c r="F27" s="29"/>
      <c r="G27" s="29"/>
    </row>
  </sheetData>
  <mergeCells count="6">
    <mergeCell ref="A1:G1"/>
    <mergeCell ref="A2:G2"/>
    <mergeCell ref="B4:G4"/>
    <mergeCell ref="B16:G16"/>
    <mergeCell ref="B26:G26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A84F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7" min="5" style="1" width="12"/>
  </cols>
  <sheetData>
    <row r="1" customFormat="false" ht="33.75" hidden="false" customHeight="true" outlineLevel="0" collapsed="false">
      <c r="A1" s="2" t="s">
        <v>538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48" t="s">
        <v>539</v>
      </c>
      <c r="B2" s="48"/>
      <c r="C2" s="48"/>
      <c r="D2" s="48"/>
      <c r="E2" s="48"/>
      <c r="F2" s="48"/>
      <c r="G2" s="48"/>
    </row>
    <row r="4" customFormat="false" ht="21.75" hidden="false" customHeight="true" outlineLevel="0" collapsed="false">
      <c r="B4" s="30" t="s">
        <v>540</v>
      </c>
      <c r="C4" s="30"/>
      <c r="D4" s="30"/>
      <c r="E4" s="30"/>
      <c r="F4" s="30"/>
      <c r="G4" s="30"/>
    </row>
    <row r="5" customFormat="false" ht="25.5" hidden="false" customHeight="true" outlineLevel="0" collapsed="false">
      <c r="B5" s="9" t="s">
        <v>541</v>
      </c>
      <c r="C5" s="9" t="s">
        <v>136</v>
      </c>
      <c r="D5" s="9" t="s">
        <v>90</v>
      </c>
      <c r="E5" s="9"/>
      <c r="F5" s="9"/>
      <c r="G5" s="9"/>
      <c r="H5" s="9"/>
    </row>
    <row r="6" customFormat="false" ht="15" hidden="false" customHeight="true" outlineLevel="0" collapsed="false">
      <c r="B6" s="39" t="s">
        <v>542</v>
      </c>
      <c r="C6" s="99" t="n">
        <v>50</v>
      </c>
      <c r="D6" s="105" t="s">
        <v>543</v>
      </c>
      <c r="E6" s="105"/>
      <c r="F6" s="105"/>
      <c r="G6" s="105"/>
      <c r="H6" s="105"/>
    </row>
    <row r="7" customFormat="false" ht="15" hidden="false" customHeight="true" outlineLevel="0" collapsed="false">
      <c r="B7" s="18" t="s">
        <v>544</v>
      </c>
      <c r="C7" s="106" t="n">
        <v>1.06</v>
      </c>
      <c r="D7" s="107" t="s">
        <v>545</v>
      </c>
      <c r="E7" s="107"/>
      <c r="F7" s="107"/>
      <c r="G7" s="107"/>
      <c r="H7" s="107"/>
    </row>
    <row r="8" customFormat="false" ht="15" hidden="false" customHeight="true" outlineLevel="0" collapsed="false">
      <c r="B8" s="39" t="s">
        <v>546</v>
      </c>
      <c r="C8" s="99" t="n">
        <v>8</v>
      </c>
      <c r="D8" s="105" t="s">
        <v>547</v>
      </c>
      <c r="E8" s="105"/>
      <c r="F8" s="105"/>
      <c r="G8" s="105"/>
      <c r="H8" s="105"/>
    </row>
    <row r="9" customFormat="false" ht="15" hidden="false" customHeight="true" outlineLevel="0" collapsed="false">
      <c r="B9" s="11" t="s">
        <v>548</v>
      </c>
      <c r="C9" s="106" t="n">
        <v>1.055</v>
      </c>
      <c r="D9" s="107" t="s">
        <v>549</v>
      </c>
      <c r="E9" s="107"/>
      <c r="F9" s="107"/>
      <c r="G9" s="107"/>
      <c r="H9" s="107"/>
    </row>
    <row r="10" customFormat="false" ht="15" hidden="false" customHeight="true" outlineLevel="0" collapsed="false">
      <c r="B10" s="39" t="s">
        <v>550</v>
      </c>
      <c r="C10" s="99" t="n">
        <v>10</v>
      </c>
      <c r="D10" s="105" t="s">
        <v>551</v>
      </c>
      <c r="E10" s="105"/>
      <c r="F10" s="105"/>
      <c r="G10" s="105"/>
      <c r="H10" s="105"/>
    </row>
    <row r="11" customFormat="false" ht="15" hidden="false" customHeight="true" outlineLevel="0" collapsed="false">
      <c r="B11" s="11" t="s">
        <v>552</v>
      </c>
      <c r="C11" s="106" t="n">
        <v>1.05</v>
      </c>
      <c r="D11" s="107" t="s">
        <v>553</v>
      </c>
      <c r="E11" s="107"/>
      <c r="F11" s="107"/>
      <c r="G11" s="107"/>
      <c r="H11" s="107"/>
    </row>
    <row r="12" customFormat="false" ht="15" hidden="false" customHeight="true" outlineLevel="0" collapsed="false">
      <c r="B12" s="39" t="s">
        <v>554</v>
      </c>
      <c r="C12" s="99" t="n">
        <v>5</v>
      </c>
      <c r="D12" s="105" t="s">
        <v>555</v>
      </c>
      <c r="E12" s="105"/>
      <c r="F12" s="105"/>
      <c r="G12" s="105"/>
      <c r="H12" s="105"/>
    </row>
    <row r="13" customFormat="false" ht="15" hidden="false" customHeight="true" outlineLevel="0" collapsed="false">
      <c r="B13" s="11" t="s">
        <v>556</v>
      </c>
      <c r="C13" s="106" t="n">
        <v>1.04</v>
      </c>
      <c r="D13" s="107" t="s">
        <v>557</v>
      </c>
      <c r="E13" s="107"/>
      <c r="F13" s="107"/>
      <c r="G13" s="107"/>
      <c r="H13" s="107"/>
    </row>
    <row r="15" customFormat="false" ht="21.75" hidden="false" customHeight="true" outlineLevel="0" collapsed="false">
      <c r="B15" s="30" t="s">
        <v>558</v>
      </c>
      <c r="C15" s="30"/>
      <c r="D15" s="30"/>
      <c r="E15" s="30"/>
      <c r="F15" s="30"/>
      <c r="G15" s="30"/>
    </row>
    <row r="16" customFormat="false" ht="25.5" hidden="false" customHeight="true" outlineLevel="0" collapsed="false">
      <c r="B16" s="9" t="s">
        <v>559</v>
      </c>
      <c r="C16" s="8" t="s">
        <v>172</v>
      </c>
      <c r="D16" s="9" t="s">
        <v>560</v>
      </c>
      <c r="E16" s="9" t="s">
        <v>561</v>
      </c>
      <c r="F16" s="9" t="s">
        <v>562</v>
      </c>
      <c r="G16" s="9"/>
      <c r="H16" s="9"/>
    </row>
    <row r="17" customFormat="false" ht="15" hidden="false" customHeight="true" outlineLevel="0" collapsed="false">
      <c r="B17" s="37" t="n">
        <v>1</v>
      </c>
      <c r="C17" s="108" t="n">
        <f aca="false">ROUND($C$6*$C$7^(1-1),0)</f>
        <v>50</v>
      </c>
      <c r="D17" s="108" t="n">
        <f aca="false">ROUND($C$8*$C$9^(1-1),0)</f>
        <v>8</v>
      </c>
      <c r="E17" s="108" t="n">
        <f aca="false">ROUND($C$10*$C$11^(1-1),0)</f>
        <v>10</v>
      </c>
      <c r="F17" s="108" t="n">
        <f aca="false">ROUND($C$12*$C$13^(1-1),0)</f>
        <v>5</v>
      </c>
      <c r="G17" s="5"/>
      <c r="H17" s="5"/>
    </row>
    <row r="18" customFormat="false" ht="15" hidden="false" customHeight="true" outlineLevel="0" collapsed="false">
      <c r="B18" s="40" t="n">
        <v>5</v>
      </c>
      <c r="C18" s="109" t="n">
        <f aca="false">ROUND($C$6*$C$7^(5-1),0)</f>
        <v>63</v>
      </c>
      <c r="D18" s="109" t="n">
        <f aca="false">ROUND($C$8*$C$9^(5-1),0)</f>
        <v>10</v>
      </c>
      <c r="E18" s="109" t="n">
        <f aca="false">ROUND($C$10*$C$11^(5-1),0)</f>
        <v>12</v>
      </c>
      <c r="F18" s="109" t="n">
        <f aca="false">ROUND($C$12*$C$13^(5-1),0)</f>
        <v>6</v>
      </c>
      <c r="G18" s="5"/>
      <c r="H18" s="5"/>
    </row>
    <row r="19" customFormat="false" ht="15" hidden="false" customHeight="true" outlineLevel="0" collapsed="false">
      <c r="B19" s="37" t="n">
        <v>10</v>
      </c>
      <c r="C19" s="108" t="n">
        <f aca="false">ROUND($C$6*$C$7^(10-1),0)</f>
        <v>84</v>
      </c>
      <c r="D19" s="108" t="n">
        <f aca="false">ROUND($C$8*$C$9^(10-1),0)</f>
        <v>13</v>
      </c>
      <c r="E19" s="108" t="n">
        <f aca="false">ROUND($C$10*$C$11^(10-1),0)</f>
        <v>16</v>
      </c>
      <c r="F19" s="108" t="n">
        <f aca="false">ROUND($C$12*$C$13^(10-1),0)</f>
        <v>7</v>
      </c>
      <c r="G19" s="5"/>
      <c r="H19" s="5"/>
    </row>
    <row r="20" customFormat="false" ht="15" hidden="false" customHeight="true" outlineLevel="0" collapsed="false">
      <c r="B20" s="40" t="n">
        <v>20</v>
      </c>
      <c r="C20" s="109" t="n">
        <f aca="false">ROUND($C$6*$C$7^(20-1),0)</f>
        <v>151</v>
      </c>
      <c r="D20" s="109" t="n">
        <f aca="false">ROUND($C$8*$C$9^(20-1),0)</f>
        <v>22</v>
      </c>
      <c r="E20" s="109" t="n">
        <f aca="false">ROUND($C$10*$C$11^(20-1),0)</f>
        <v>25</v>
      </c>
      <c r="F20" s="109" t="n">
        <f aca="false">ROUND($C$12*$C$13^(20-1),0)</f>
        <v>11</v>
      </c>
      <c r="G20" s="5"/>
      <c r="H20" s="5"/>
    </row>
    <row r="21" customFormat="false" ht="15" hidden="false" customHeight="true" outlineLevel="0" collapsed="false">
      <c r="B21" s="37" t="n">
        <v>30</v>
      </c>
      <c r="C21" s="108" t="n">
        <f aca="false">ROUND($C$6*$C$7^(30-1),0)</f>
        <v>271</v>
      </c>
      <c r="D21" s="108" t="n">
        <f aca="false">ROUND($C$8*$C$9^(30-1),0)</f>
        <v>38</v>
      </c>
      <c r="E21" s="108" t="n">
        <f aca="false">ROUND($C$10*$C$11^(30-1),0)</f>
        <v>41</v>
      </c>
      <c r="F21" s="108" t="n">
        <f aca="false">ROUND($C$12*$C$13^(30-1),0)</f>
        <v>16</v>
      </c>
      <c r="G21" s="5"/>
      <c r="H21" s="5"/>
    </row>
    <row r="22" customFormat="false" ht="15" hidden="false" customHeight="true" outlineLevel="0" collapsed="false">
      <c r="B22" s="40" t="n">
        <v>40</v>
      </c>
      <c r="C22" s="109" t="n">
        <f aca="false">ROUND($C$6*$C$7^(40-1),0)</f>
        <v>485</v>
      </c>
      <c r="D22" s="109" t="n">
        <f aca="false">ROUND($C$8*$C$9^(40-1),0)</f>
        <v>65</v>
      </c>
      <c r="E22" s="109" t="n">
        <f aca="false">ROUND($C$10*$C$11^(40-1),0)</f>
        <v>67</v>
      </c>
      <c r="F22" s="109" t="n">
        <f aca="false">ROUND($C$12*$C$13^(40-1),0)</f>
        <v>23</v>
      </c>
      <c r="G22" s="5"/>
      <c r="H22" s="5"/>
    </row>
    <row r="23" customFormat="false" ht="15" hidden="false" customHeight="true" outlineLevel="0" collapsed="false">
      <c r="B23" s="37" t="n">
        <v>50</v>
      </c>
      <c r="C23" s="108" t="n">
        <f aca="false">ROUND($C$6*$C$7^(50-1),0)</f>
        <v>869</v>
      </c>
      <c r="D23" s="108" t="n">
        <f aca="false">ROUND($C$8*$C$9^(50-1),0)</f>
        <v>110</v>
      </c>
      <c r="E23" s="108" t="n">
        <f aca="false">ROUND($C$10*$C$11^(50-1),0)</f>
        <v>109</v>
      </c>
      <c r="F23" s="108" t="n">
        <f aca="false">ROUND($C$12*$C$13^(50-1),0)</f>
        <v>34</v>
      </c>
      <c r="G23" s="5"/>
      <c r="H23" s="5"/>
    </row>
    <row r="24" customFormat="false" ht="15" hidden="false" customHeight="true" outlineLevel="0" collapsed="false">
      <c r="B24" s="40" t="n">
        <v>60</v>
      </c>
      <c r="C24" s="109" t="n">
        <f aca="false">ROUND($C$6*$C$7^(60-1),0)</f>
        <v>1556</v>
      </c>
      <c r="D24" s="109" t="n">
        <f aca="false">ROUND($C$8*$C$9^(60-1),0)</f>
        <v>188</v>
      </c>
      <c r="E24" s="109" t="n">
        <f aca="false">ROUND($C$10*$C$11^(60-1),0)</f>
        <v>178</v>
      </c>
      <c r="F24" s="109" t="n">
        <f aca="false">ROUND($C$12*$C$13^(60-1),0)</f>
        <v>51</v>
      </c>
      <c r="G24" s="5"/>
      <c r="H24" s="5"/>
    </row>
    <row r="25" customFormat="false" ht="15" hidden="false" customHeight="true" outlineLevel="0" collapsed="false">
      <c r="B25" s="37" t="n">
        <v>70</v>
      </c>
      <c r="C25" s="108" t="n">
        <f aca="false">ROUND($C$6*$C$7^(70-1),0)</f>
        <v>2787</v>
      </c>
      <c r="D25" s="108" t="n">
        <f aca="false">ROUND($C$8*$C$9^(70-1),0)</f>
        <v>322</v>
      </c>
      <c r="E25" s="108" t="n">
        <f aca="false">ROUND($C$10*$C$11^(70-1),0)</f>
        <v>290</v>
      </c>
      <c r="F25" s="108" t="n">
        <f aca="false">ROUND($C$12*$C$13^(70-1),0)</f>
        <v>75</v>
      </c>
      <c r="G25" s="5"/>
      <c r="H25" s="5"/>
    </row>
    <row r="27" customFormat="false" ht="26.25" hidden="false" customHeight="true" outlineLevel="0" collapsed="false">
      <c r="B27" s="110" t="s">
        <v>563</v>
      </c>
      <c r="C27" s="110"/>
      <c r="D27" s="110"/>
      <c r="E27" s="110"/>
      <c r="F27" s="110"/>
      <c r="G27" s="110"/>
    </row>
    <row r="28" customFormat="false" ht="26.25" hidden="false" customHeight="true" outlineLevel="0" collapsed="false">
      <c r="B28" s="110" t="s">
        <v>564</v>
      </c>
      <c r="C28" s="110"/>
      <c r="D28" s="110"/>
      <c r="E28" s="110"/>
      <c r="F28" s="110"/>
      <c r="G28" s="110"/>
    </row>
  </sheetData>
  <mergeCells count="14">
    <mergeCell ref="A1:G1"/>
    <mergeCell ref="A2:G2"/>
    <mergeCell ref="B4:G4"/>
    <mergeCell ref="D6:H6"/>
    <mergeCell ref="D7:H7"/>
    <mergeCell ref="D8:H8"/>
    <mergeCell ref="D9:H9"/>
    <mergeCell ref="D10:H10"/>
    <mergeCell ref="D11:H11"/>
    <mergeCell ref="D12:H12"/>
    <mergeCell ref="D13:H13"/>
    <mergeCell ref="B15:G15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A84F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6" min="4" style="1" width="11"/>
    <col collapsed="false" customWidth="true" hidden="false" outlineLevel="0" max="7" min="7" style="1" width="34"/>
  </cols>
  <sheetData>
    <row r="1" customFormat="false" ht="33.75" hidden="false" customHeight="true" outlineLevel="0" collapsed="false">
      <c r="A1" s="2" t="s">
        <v>565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48" t="s">
        <v>566</v>
      </c>
      <c r="B2" s="48"/>
      <c r="C2" s="48"/>
      <c r="D2" s="48"/>
      <c r="E2" s="48"/>
      <c r="F2" s="48"/>
      <c r="G2" s="48"/>
    </row>
    <row r="4" customFormat="false" ht="21.75" hidden="false" customHeight="true" outlineLevel="0" collapsed="false">
      <c r="B4" s="30" t="s">
        <v>567</v>
      </c>
      <c r="C4" s="30"/>
      <c r="D4" s="30"/>
      <c r="E4" s="30"/>
      <c r="F4" s="30"/>
      <c r="G4" s="30"/>
    </row>
    <row r="5" customFormat="false" ht="25.5" hidden="false" customHeight="true" outlineLevel="0" collapsed="false">
      <c r="B5" s="9" t="s">
        <v>377</v>
      </c>
      <c r="C5" s="9" t="s">
        <v>88</v>
      </c>
      <c r="D5" s="8" t="s">
        <v>568</v>
      </c>
      <c r="E5" s="9" t="s">
        <v>569</v>
      </c>
      <c r="F5" s="9" t="s">
        <v>570</v>
      </c>
      <c r="G5" s="9" t="s">
        <v>571</v>
      </c>
    </row>
    <row r="6" customFormat="false" ht="15" hidden="false" customHeight="true" outlineLevel="0" collapsed="false">
      <c r="B6" s="31" t="s">
        <v>382</v>
      </c>
      <c r="C6" s="16" t="s">
        <v>572</v>
      </c>
      <c r="D6" s="94" t="n">
        <v>1</v>
      </c>
      <c r="E6" s="94" t="n">
        <v>1</v>
      </c>
      <c r="F6" s="94" t="n">
        <v>1</v>
      </c>
      <c r="G6" s="33" t="s">
        <v>573</v>
      </c>
    </row>
    <row r="7" customFormat="false" ht="15" hidden="false" customHeight="true" outlineLevel="0" collapsed="false">
      <c r="B7" s="34" t="s">
        <v>574</v>
      </c>
      <c r="C7" s="25" t="s">
        <v>575</v>
      </c>
      <c r="D7" s="92" t="n">
        <v>3</v>
      </c>
      <c r="E7" s="92" t="n">
        <v>1.5</v>
      </c>
      <c r="F7" s="92" t="n">
        <v>3</v>
      </c>
      <c r="G7" s="36" t="s">
        <v>576</v>
      </c>
    </row>
    <row r="8" customFormat="false" ht="15" hidden="false" customHeight="true" outlineLevel="0" collapsed="false">
      <c r="B8" s="31" t="s">
        <v>394</v>
      </c>
      <c r="C8" s="16" t="s">
        <v>577</v>
      </c>
      <c r="D8" s="94" t="n">
        <v>5</v>
      </c>
      <c r="E8" s="94" t="n">
        <v>2</v>
      </c>
      <c r="F8" s="94" t="n">
        <v>5</v>
      </c>
      <c r="G8" s="33" t="s">
        <v>578</v>
      </c>
    </row>
    <row r="9" customFormat="false" ht="15" hidden="false" customHeight="true" outlineLevel="0" collapsed="false">
      <c r="B9" s="34" t="s">
        <v>579</v>
      </c>
      <c r="C9" s="25" t="s">
        <v>580</v>
      </c>
      <c r="D9" s="92" t="n">
        <v>15</v>
      </c>
      <c r="E9" s="92" t="n">
        <v>2.5</v>
      </c>
      <c r="F9" s="92" t="n">
        <v>12</v>
      </c>
      <c r="G9" s="36" t="s">
        <v>581</v>
      </c>
    </row>
    <row r="10" customFormat="false" ht="15" hidden="false" customHeight="true" outlineLevel="0" collapsed="false">
      <c r="B10" s="31" t="s">
        <v>582</v>
      </c>
      <c r="C10" s="16" t="s">
        <v>583</v>
      </c>
      <c r="D10" s="94" t="n">
        <v>40</v>
      </c>
      <c r="E10" s="94" t="n">
        <v>3</v>
      </c>
      <c r="F10" s="94" t="n">
        <v>30</v>
      </c>
      <c r="G10" s="33" t="s">
        <v>584</v>
      </c>
    </row>
    <row r="12" customFormat="false" ht="21.75" hidden="false" customHeight="true" outlineLevel="0" collapsed="false">
      <c r="B12" s="30" t="s">
        <v>585</v>
      </c>
      <c r="C12" s="30"/>
      <c r="D12" s="30"/>
      <c r="E12" s="30"/>
      <c r="F12" s="30"/>
      <c r="G12" s="30"/>
    </row>
    <row r="13" customFormat="false" ht="25.5" hidden="false" customHeight="true" outlineLevel="0" collapsed="false">
      <c r="B13" s="9" t="s">
        <v>377</v>
      </c>
      <c r="C13" s="8" t="s">
        <v>586</v>
      </c>
      <c r="D13" s="9" t="s">
        <v>587</v>
      </c>
      <c r="E13" s="9" t="s">
        <v>588</v>
      </c>
      <c r="F13" s="9"/>
      <c r="G13" s="9"/>
      <c r="H13" s="9"/>
    </row>
    <row r="14" customFormat="false" ht="15" hidden="false" customHeight="true" outlineLevel="0" collapsed="false">
      <c r="B14" s="111" t="s">
        <v>589</v>
      </c>
      <c r="C14" s="99" t="n">
        <v>2600</v>
      </c>
      <c r="D14" s="99" t="n">
        <v>110</v>
      </c>
      <c r="E14" s="99" t="n">
        <v>290</v>
      </c>
      <c r="F14" s="16"/>
      <c r="G14" s="5"/>
      <c r="H14" s="5"/>
    </row>
    <row r="15" customFormat="false" ht="15" hidden="false" customHeight="true" outlineLevel="0" collapsed="false">
      <c r="B15" s="34" t="s">
        <v>382</v>
      </c>
      <c r="C15" s="108" t="n">
        <f aca="false">ROUND($C$14*$D$6,0)</f>
        <v>2600</v>
      </c>
      <c r="D15" s="108" t="n">
        <f aca="false">ROUND($D$14*$E$6,0)</f>
        <v>110</v>
      </c>
      <c r="E15" s="108" t="n">
        <f aca="false">ROUND($E$14*$F$6,0)</f>
        <v>290</v>
      </c>
      <c r="F15" s="25"/>
      <c r="G15" s="5"/>
      <c r="H15" s="5"/>
    </row>
    <row r="16" customFormat="false" ht="15" hidden="false" customHeight="true" outlineLevel="0" collapsed="false">
      <c r="B16" s="31" t="s">
        <v>574</v>
      </c>
      <c r="C16" s="109" t="n">
        <f aca="false">ROUND($C$14*$D$7,0)</f>
        <v>7800</v>
      </c>
      <c r="D16" s="109" t="n">
        <f aca="false">ROUND($D$14*$E$7,0)</f>
        <v>165</v>
      </c>
      <c r="E16" s="109" t="n">
        <f aca="false">ROUND($E$14*$F$7,0)</f>
        <v>870</v>
      </c>
      <c r="F16" s="16"/>
      <c r="G16" s="5"/>
      <c r="H16" s="5"/>
    </row>
    <row r="17" customFormat="false" ht="15" hidden="false" customHeight="true" outlineLevel="0" collapsed="false">
      <c r="B17" s="34" t="s">
        <v>394</v>
      </c>
      <c r="C17" s="108" t="n">
        <f aca="false">ROUND($C$14*$D$8,0)</f>
        <v>13000</v>
      </c>
      <c r="D17" s="108" t="n">
        <f aca="false">ROUND($D$14*$E$8,0)</f>
        <v>220</v>
      </c>
      <c r="E17" s="108" t="n">
        <f aca="false">ROUND($E$14*$F$8,0)</f>
        <v>1450</v>
      </c>
      <c r="F17" s="25"/>
      <c r="G17" s="5"/>
      <c r="H17" s="5"/>
    </row>
    <row r="18" customFormat="false" ht="15" hidden="false" customHeight="true" outlineLevel="0" collapsed="false">
      <c r="B18" s="31" t="s">
        <v>579</v>
      </c>
      <c r="C18" s="109" t="n">
        <f aca="false">ROUND($C$14*$D$9,0)</f>
        <v>39000</v>
      </c>
      <c r="D18" s="109" t="n">
        <f aca="false">ROUND($D$14*$E$9,0)</f>
        <v>275</v>
      </c>
      <c r="E18" s="109" t="n">
        <f aca="false">ROUND($E$14*$F$9,0)</f>
        <v>3480</v>
      </c>
      <c r="F18" s="16"/>
      <c r="G18" s="5"/>
      <c r="H18" s="5"/>
    </row>
    <row r="19" customFormat="false" ht="15" hidden="false" customHeight="true" outlineLevel="0" collapsed="false">
      <c r="B19" s="34" t="s">
        <v>582</v>
      </c>
      <c r="C19" s="108" t="n">
        <f aca="false">ROUND($C$14*$D$10,0)</f>
        <v>104000</v>
      </c>
      <c r="D19" s="108" t="n">
        <f aca="false">ROUND($D$14*$E$10,0)</f>
        <v>330</v>
      </c>
      <c r="E19" s="108" t="n">
        <f aca="false">ROUND($E$14*$F$10,0)</f>
        <v>8700</v>
      </c>
      <c r="F19" s="25"/>
      <c r="G19" s="5"/>
      <c r="H19" s="5"/>
    </row>
    <row r="21" customFormat="false" ht="26.25" hidden="false" customHeight="true" outlineLevel="0" collapsed="false">
      <c r="B21" s="112" t="s">
        <v>590</v>
      </c>
      <c r="C21" s="112"/>
      <c r="D21" s="112"/>
      <c r="E21" s="112"/>
      <c r="F21" s="112"/>
      <c r="G21" s="112"/>
    </row>
    <row r="22" customFormat="false" ht="15" hidden="false" customHeight="true" outlineLevel="0" collapsed="false">
      <c r="B22" s="112" t="s">
        <v>591</v>
      </c>
      <c r="C22" s="112"/>
      <c r="D22" s="112"/>
      <c r="E22" s="112"/>
      <c r="F22" s="112"/>
      <c r="G22" s="112"/>
    </row>
  </sheetData>
  <mergeCells count="6">
    <mergeCell ref="A1:G1"/>
    <mergeCell ref="A2:G2"/>
    <mergeCell ref="B4:G4"/>
    <mergeCell ref="B12:G12"/>
    <mergeCell ref="B21:G21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A84F"/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5" min="5" style="1" width="48"/>
  </cols>
  <sheetData>
    <row r="1" customFormat="false" ht="33.75" hidden="false" customHeight="true" outlineLevel="0" collapsed="false">
      <c r="A1" s="2" t="s">
        <v>592</v>
      </c>
      <c r="B1" s="2"/>
      <c r="C1" s="2"/>
      <c r="D1" s="2"/>
      <c r="E1" s="2"/>
    </row>
    <row r="2" customFormat="false" ht="18" hidden="false" customHeight="true" outlineLevel="0" collapsed="false">
      <c r="A2" s="48" t="s">
        <v>593</v>
      </c>
      <c r="B2" s="48"/>
      <c r="C2" s="48"/>
      <c r="D2" s="48"/>
      <c r="E2" s="48"/>
    </row>
    <row r="4" customFormat="false" ht="21.75" hidden="false" customHeight="true" outlineLevel="0" collapsed="false">
      <c r="B4" s="30" t="s">
        <v>594</v>
      </c>
      <c r="C4" s="30"/>
      <c r="D4" s="30"/>
      <c r="E4" s="30"/>
    </row>
    <row r="5" customFormat="false" ht="25.5" hidden="false" customHeight="true" outlineLevel="0" collapsed="false">
      <c r="B5" s="9" t="s">
        <v>595</v>
      </c>
      <c r="C5" s="9" t="s">
        <v>596</v>
      </c>
      <c r="D5" s="9" t="s">
        <v>597</v>
      </c>
      <c r="E5" s="9" t="s">
        <v>513</v>
      </c>
    </row>
    <row r="6" customFormat="false" ht="15" hidden="false" customHeight="true" outlineLevel="0" collapsed="false">
      <c r="B6" s="31" t="s">
        <v>598</v>
      </c>
      <c r="C6" s="16" t="s">
        <v>599</v>
      </c>
      <c r="D6" s="113" t="s">
        <v>600</v>
      </c>
      <c r="E6" s="33" t="s">
        <v>601</v>
      </c>
    </row>
    <row r="7" customFormat="false" ht="15" hidden="false" customHeight="true" outlineLevel="0" collapsed="false">
      <c r="B7" s="34" t="s">
        <v>602</v>
      </c>
      <c r="C7" s="25" t="s">
        <v>603</v>
      </c>
      <c r="D7" s="71" t="s">
        <v>604</v>
      </c>
      <c r="E7" s="36" t="s">
        <v>605</v>
      </c>
    </row>
    <row r="8" customFormat="false" ht="15" hidden="false" customHeight="true" outlineLevel="0" collapsed="false">
      <c r="B8" s="31" t="s">
        <v>606</v>
      </c>
      <c r="C8" s="16" t="s">
        <v>607</v>
      </c>
      <c r="D8" s="113" t="s">
        <v>600</v>
      </c>
      <c r="E8" s="33" t="s">
        <v>608</v>
      </c>
    </row>
    <row r="9" customFormat="false" ht="15" hidden="false" customHeight="true" outlineLevel="0" collapsed="false">
      <c r="B9" s="34" t="s">
        <v>609</v>
      </c>
      <c r="C9" s="25" t="s">
        <v>610</v>
      </c>
      <c r="D9" s="114" t="s">
        <v>600</v>
      </c>
      <c r="E9" s="36" t="s">
        <v>611</v>
      </c>
    </row>
    <row r="10" customFormat="false" ht="15" hidden="false" customHeight="true" outlineLevel="0" collapsed="false">
      <c r="B10" s="31" t="s">
        <v>612</v>
      </c>
      <c r="C10" s="16" t="s">
        <v>613</v>
      </c>
      <c r="D10" s="113" t="s">
        <v>600</v>
      </c>
      <c r="E10" s="33" t="s">
        <v>614</v>
      </c>
    </row>
    <row r="11" customFormat="false" ht="15" hidden="false" customHeight="true" outlineLevel="0" collapsed="false">
      <c r="B11" s="34" t="s">
        <v>615</v>
      </c>
      <c r="C11" s="25" t="s">
        <v>616</v>
      </c>
      <c r="D11" s="73" t="s">
        <v>617</v>
      </c>
      <c r="E11" s="36" t="s">
        <v>618</v>
      </c>
    </row>
    <row r="12" customFormat="false" ht="15" hidden="false" customHeight="true" outlineLevel="0" collapsed="false">
      <c r="B12" s="31" t="s">
        <v>619</v>
      </c>
      <c r="C12" s="16" t="s">
        <v>620</v>
      </c>
      <c r="D12" s="113" t="s">
        <v>600</v>
      </c>
      <c r="E12" s="33" t="s">
        <v>621</v>
      </c>
    </row>
    <row r="13" customFormat="false" ht="15" hidden="false" customHeight="true" outlineLevel="0" collapsed="false">
      <c r="B13" s="34" t="s">
        <v>622</v>
      </c>
      <c r="C13" s="25" t="s">
        <v>623</v>
      </c>
      <c r="D13" s="114" t="s">
        <v>600</v>
      </c>
      <c r="E13" s="36" t="s">
        <v>624</v>
      </c>
    </row>
    <row r="14" customFormat="false" ht="15" hidden="false" customHeight="true" outlineLevel="0" collapsed="false">
      <c r="B14" s="31" t="s">
        <v>625</v>
      </c>
      <c r="C14" s="16" t="s">
        <v>626</v>
      </c>
      <c r="D14" s="115" t="s">
        <v>604</v>
      </c>
      <c r="E14" s="33" t="s">
        <v>627</v>
      </c>
    </row>
    <row r="15" customFormat="false" ht="15" hidden="false" customHeight="true" outlineLevel="0" collapsed="false">
      <c r="B15" s="34" t="s">
        <v>628</v>
      </c>
      <c r="C15" s="25" t="s">
        <v>629</v>
      </c>
      <c r="D15" s="114" t="s">
        <v>600</v>
      </c>
      <c r="E15" s="36" t="s">
        <v>630</v>
      </c>
    </row>
    <row r="16" customFormat="false" ht="15" hidden="false" customHeight="true" outlineLevel="0" collapsed="false">
      <c r="B16" s="31" t="s">
        <v>631</v>
      </c>
      <c r="C16" s="16" t="s">
        <v>632</v>
      </c>
      <c r="D16" s="113" t="s">
        <v>600</v>
      </c>
      <c r="E16" s="33" t="s">
        <v>633</v>
      </c>
    </row>
    <row r="17" customFormat="false" ht="15" hidden="false" customHeight="true" outlineLevel="0" collapsed="false">
      <c r="B17" s="34" t="s">
        <v>634</v>
      </c>
      <c r="C17" s="25" t="s">
        <v>635</v>
      </c>
      <c r="D17" s="114" t="s">
        <v>600</v>
      </c>
      <c r="E17" s="36" t="s">
        <v>636</v>
      </c>
    </row>
    <row r="18" customFormat="false" ht="15" hidden="false" customHeight="true" outlineLevel="0" collapsed="false">
      <c r="B18" s="31" t="s">
        <v>637</v>
      </c>
      <c r="C18" s="16" t="s">
        <v>638</v>
      </c>
      <c r="D18" s="72" t="s">
        <v>617</v>
      </c>
      <c r="E18" s="33" t="s">
        <v>639</v>
      </c>
    </row>
    <row r="19" customFormat="false" ht="15" hidden="false" customHeight="true" outlineLevel="0" collapsed="false">
      <c r="B19" s="34" t="s">
        <v>640</v>
      </c>
      <c r="C19" s="25" t="s">
        <v>641</v>
      </c>
      <c r="D19" s="71" t="s">
        <v>604</v>
      </c>
      <c r="E19" s="36" t="s">
        <v>642</v>
      </c>
    </row>
    <row r="20" customFormat="false" ht="15" hidden="false" customHeight="true" outlineLevel="0" collapsed="false">
      <c r="B20" s="31" t="s">
        <v>643</v>
      </c>
      <c r="C20" s="16" t="s">
        <v>644</v>
      </c>
      <c r="D20" s="113" t="s">
        <v>600</v>
      </c>
      <c r="E20" s="33" t="s">
        <v>645</v>
      </c>
    </row>
    <row r="21" customFormat="false" ht="15" hidden="false" customHeight="true" outlineLevel="0" collapsed="false">
      <c r="B21" s="34" t="s">
        <v>646</v>
      </c>
      <c r="C21" s="25" t="s">
        <v>647</v>
      </c>
      <c r="D21" s="73" t="s">
        <v>617</v>
      </c>
      <c r="E21" s="36" t="s">
        <v>648</v>
      </c>
    </row>
    <row r="22" customFormat="false" ht="15" hidden="false" customHeight="true" outlineLevel="0" collapsed="false">
      <c r="B22" s="31" t="s">
        <v>649</v>
      </c>
      <c r="C22" s="16" t="s">
        <v>650</v>
      </c>
      <c r="D22" s="113" t="s">
        <v>600</v>
      </c>
      <c r="E22" s="33" t="s">
        <v>651</v>
      </c>
    </row>
    <row r="23" customFormat="false" ht="15" hidden="false" customHeight="true" outlineLevel="0" collapsed="false">
      <c r="B23" s="34" t="s">
        <v>652</v>
      </c>
      <c r="C23" s="25" t="s">
        <v>653</v>
      </c>
      <c r="D23" s="114" t="s">
        <v>600</v>
      </c>
      <c r="E23" s="36" t="s">
        <v>654</v>
      </c>
    </row>
    <row r="24" customFormat="false" ht="15" hidden="false" customHeight="true" outlineLevel="0" collapsed="false">
      <c r="B24" s="31" t="s">
        <v>655</v>
      </c>
      <c r="C24" s="16" t="s">
        <v>656</v>
      </c>
      <c r="D24" s="113" t="s">
        <v>600</v>
      </c>
      <c r="E24" s="33" t="s">
        <v>657</v>
      </c>
    </row>
    <row r="25" customFormat="false" ht="15" hidden="false" customHeight="true" outlineLevel="0" collapsed="false">
      <c r="B25" s="34" t="s">
        <v>658</v>
      </c>
      <c r="C25" s="25" t="s">
        <v>659</v>
      </c>
      <c r="D25" s="114" t="s">
        <v>600</v>
      </c>
      <c r="E25" s="36" t="s">
        <v>660</v>
      </c>
    </row>
    <row r="26" customFormat="false" ht="15" hidden="false" customHeight="true" outlineLevel="0" collapsed="false">
      <c r="B26" s="31" t="s">
        <v>661</v>
      </c>
      <c r="C26" s="16" t="s">
        <v>662</v>
      </c>
      <c r="D26" s="115" t="s">
        <v>604</v>
      </c>
      <c r="E26" s="33" t="s">
        <v>663</v>
      </c>
    </row>
    <row r="27" customFormat="false" ht="15" hidden="false" customHeight="true" outlineLevel="0" collapsed="false">
      <c r="B27" s="34" t="s">
        <v>664</v>
      </c>
      <c r="C27" s="25" t="s">
        <v>665</v>
      </c>
      <c r="D27" s="114" t="s">
        <v>600</v>
      </c>
      <c r="E27" s="36" t="s">
        <v>666</v>
      </c>
    </row>
    <row r="28" customFormat="false" ht="15" hidden="false" customHeight="true" outlineLevel="0" collapsed="false">
      <c r="B28" s="31" t="s">
        <v>667</v>
      </c>
      <c r="C28" s="16" t="s">
        <v>668</v>
      </c>
      <c r="D28" s="115" t="s">
        <v>604</v>
      </c>
      <c r="E28" s="33" t="s">
        <v>669</v>
      </c>
    </row>
    <row r="29" customFormat="false" ht="15" hidden="false" customHeight="true" outlineLevel="0" collapsed="false">
      <c r="B29" s="34" t="s">
        <v>670</v>
      </c>
      <c r="C29" s="25" t="s">
        <v>671</v>
      </c>
      <c r="D29" s="71" t="s">
        <v>604</v>
      </c>
      <c r="E29" s="36" t="s">
        <v>672</v>
      </c>
    </row>
    <row r="30" customFormat="false" ht="15" hidden="false" customHeight="true" outlineLevel="0" collapsed="false">
      <c r="B30" s="31" t="s">
        <v>673</v>
      </c>
      <c r="C30" s="16" t="s">
        <v>674</v>
      </c>
      <c r="D30" s="115" t="s">
        <v>604</v>
      </c>
      <c r="E30" s="33" t="s">
        <v>675</v>
      </c>
    </row>
    <row r="31" customFormat="false" ht="15" hidden="false" customHeight="true" outlineLevel="0" collapsed="false">
      <c r="B31" s="34" t="s">
        <v>676</v>
      </c>
      <c r="C31" s="25" t="s">
        <v>677</v>
      </c>
      <c r="D31" s="114" t="s">
        <v>600</v>
      </c>
      <c r="E31" s="36" t="s">
        <v>678</v>
      </c>
    </row>
    <row r="32" customFormat="false" ht="15" hidden="false" customHeight="true" outlineLevel="0" collapsed="false">
      <c r="B32" s="31" t="s">
        <v>679</v>
      </c>
      <c r="C32" s="16" t="s">
        <v>680</v>
      </c>
      <c r="D32" s="72" t="s">
        <v>617</v>
      </c>
      <c r="E32" s="54" t="s">
        <v>681</v>
      </c>
    </row>
    <row r="34" customFormat="false" ht="26.25" hidden="false" customHeight="true" outlineLevel="0" collapsed="false">
      <c r="B34" s="112" t="s">
        <v>682</v>
      </c>
      <c r="C34" s="112"/>
      <c r="D34" s="112"/>
      <c r="E34" s="112"/>
    </row>
    <row r="35" customFormat="false" ht="26.25" hidden="false" customHeight="true" outlineLevel="0" collapsed="false">
      <c r="B35" s="110" t="s">
        <v>683</v>
      </c>
      <c r="C35" s="110"/>
      <c r="D35" s="110"/>
      <c r="E35" s="110"/>
    </row>
    <row r="36" customFormat="false" ht="26.25" hidden="false" customHeight="true" outlineLevel="0" collapsed="false">
      <c r="B36" s="110" t="s">
        <v>684</v>
      </c>
      <c r="C36" s="110"/>
      <c r="D36" s="110"/>
      <c r="E36" s="110"/>
    </row>
  </sheetData>
  <mergeCells count="6">
    <mergeCell ref="A1:E1"/>
    <mergeCell ref="A2:E2"/>
    <mergeCell ref="B4:E4"/>
    <mergeCell ref="B34:E34"/>
    <mergeCell ref="B35:E35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7" min="3" style="1" width="13"/>
  </cols>
  <sheetData>
    <row r="1" customFormat="false" ht="33.75" hidden="false" customHeight="true" outlineLevel="0" collapsed="false">
      <c r="A1" s="2" t="s">
        <v>685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48" t="s">
        <v>686</v>
      </c>
      <c r="B2" s="48"/>
      <c r="C2" s="48"/>
      <c r="D2" s="48"/>
      <c r="E2" s="48"/>
      <c r="F2" s="48"/>
      <c r="G2" s="48"/>
    </row>
    <row r="4" customFormat="false" ht="21.75" hidden="false" customHeight="true" outlineLevel="0" collapsed="false">
      <c r="B4" s="30" t="s">
        <v>687</v>
      </c>
      <c r="C4" s="30"/>
      <c r="D4" s="30"/>
      <c r="E4" s="30"/>
      <c r="F4" s="30"/>
      <c r="G4" s="30"/>
    </row>
    <row r="5" customFormat="false" ht="25.5" hidden="false" customHeight="true" outlineLevel="0" collapsed="false">
      <c r="B5" s="9" t="s">
        <v>688</v>
      </c>
      <c r="C5" s="8" t="s">
        <v>568</v>
      </c>
      <c r="D5" s="9" t="s">
        <v>569</v>
      </c>
      <c r="E5" s="9" t="s">
        <v>689</v>
      </c>
      <c r="F5" s="9" t="s">
        <v>690</v>
      </c>
      <c r="G5" s="9" t="s">
        <v>691</v>
      </c>
    </row>
    <row r="6" customFormat="false" ht="15" hidden="false" customHeight="true" outlineLevel="0" collapsed="false">
      <c r="B6" s="31" t="s">
        <v>692</v>
      </c>
      <c r="C6" s="116" t="n">
        <v>1</v>
      </c>
      <c r="D6" s="116" t="n">
        <v>1</v>
      </c>
      <c r="E6" s="14" t="s">
        <v>693</v>
      </c>
      <c r="F6" s="14" t="s">
        <v>693</v>
      </c>
      <c r="G6" s="117" t="s">
        <v>693</v>
      </c>
    </row>
    <row r="7" customFormat="false" ht="15" hidden="false" customHeight="true" outlineLevel="0" collapsed="false">
      <c r="B7" s="34" t="s">
        <v>694</v>
      </c>
      <c r="C7" s="118" t="n">
        <v>2</v>
      </c>
      <c r="D7" s="118" t="n">
        <v>1.6</v>
      </c>
      <c r="E7" s="10" t="s">
        <v>695</v>
      </c>
      <c r="F7" s="10" t="s">
        <v>693</v>
      </c>
      <c r="G7" s="119" t="s">
        <v>693</v>
      </c>
    </row>
    <row r="8" customFormat="false" ht="15" hidden="false" customHeight="true" outlineLevel="0" collapsed="false">
      <c r="B8" s="31" t="s">
        <v>696</v>
      </c>
      <c r="C8" s="116" t="n">
        <v>3.2</v>
      </c>
      <c r="D8" s="116" t="n">
        <v>2.2</v>
      </c>
      <c r="E8" s="14" t="s">
        <v>697</v>
      </c>
      <c r="F8" s="14" t="s">
        <v>693</v>
      </c>
      <c r="G8" s="117" t="s">
        <v>693</v>
      </c>
    </row>
    <row r="9" customFormat="false" ht="15" hidden="false" customHeight="true" outlineLevel="0" collapsed="false">
      <c r="B9" s="34" t="s">
        <v>698</v>
      </c>
      <c r="C9" s="118" t="n">
        <v>5</v>
      </c>
      <c r="D9" s="118" t="n">
        <v>3</v>
      </c>
      <c r="E9" s="10" t="s">
        <v>699</v>
      </c>
      <c r="F9" s="10" t="s">
        <v>693</v>
      </c>
      <c r="G9" s="119" t="s">
        <v>700</v>
      </c>
    </row>
    <row r="10" customFormat="false" ht="15" hidden="false" customHeight="true" outlineLevel="0" collapsed="false">
      <c r="B10" s="31" t="s">
        <v>701</v>
      </c>
      <c r="C10" s="116" t="n">
        <v>8</v>
      </c>
      <c r="D10" s="116" t="n">
        <v>4</v>
      </c>
      <c r="E10" s="14" t="s">
        <v>702</v>
      </c>
      <c r="F10" s="14" t="s">
        <v>702</v>
      </c>
      <c r="G10" s="117" t="s">
        <v>703</v>
      </c>
    </row>
    <row r="11" customFormat="false" ht="15" hidden="false" customHeight="true" outlineLevel="0" collapsed="false">
      <c r="B11" s="34" t="s">
        <v>704</v>
      </c>
      <c r="C11" s="118" t="n">
        <v>13</v>
      </c>
      <c r="D11" s="118" t="n">
        <v>5.5</v>
      </c>
      <c r="E11" s="10" t="s">
        <v>705</v>
      </c>
      <c r="F11" s="10" t="s">
        <v>705</v>
      </c>
      <c r="G11" s="119" t="s">
        <v>706</v>
      </c>
    </row>
    <row r="12" customFormat="false" ht="15" hidden="false" customHeight="true" outlineLevel="0" collapsed="false">
      <c r="B12" s="31" t="s">
        <v>707</v>
      </c>
      <c r="C12" s="116" t="n">
        <v>21</v>
      </c>
      <c r="D12" s="116" t="n">
        <v>7.5</v>
      </c>
      <c r="E12" s="14" t="s">
        <v>708</v>
      </c>
      <c r="F12" s="14" t="s">
        <v>708</v>
      </c>
      <c r="G12" s="117" t="s">
        <v>386</v>
      </c>
    </row>
    <row r="13" customFormat="false" ht="15" hidden="false" customHeight="true" outlineLevel="0" collapsed="false">
      <c r="B13" s="34" t="s">
        <v>709</v>
      </c>
      <c r="C13" s="118" t="n">
        <v>34</v>
      </c>
      <c r="D13" s="118" t="n">
        <v>10</v>
      </c>
      <c r="E13" s="10" t="s">
        <v>710</v>
      </c>
      <c r="F13" s="10" t="s">
        <v>710</v>
      </c>
      <c r="G13" s="119" t="s">
        <v>695</v>
      </c>
    </row>
    <row r="14" customFormat="false" ht="15" hidden="false" customHeight="true" outlineLevel="0" collapsed="false">
      <c r="B14" s="31" t="s">
        <v>711</v>
      </c>
      <c r="C14" s="116" t="n">
        <v>54</v>
      </c>
      <c r="D14" s="116" t="n">
        <v>14</v>
      </c>
      <c r="E14" s="14" t="s">
        <v>712</v>
      </c>
      <c r="F14" s="14" t="s">
        <v>712</v>
      </c>
      <c r="G14" s="117" t="s">
        <v>713</v>
      </c>
    </row>
    <row r="15" customFormat="false" ht="15" hidden="false" customHeight="true" outlineLevel="0" collapsed="false">
      <c r="B15" s="34" t="s">
        <v>714</v>
      </c>
      <c r="C15" s="118" t="n">
        <v>86</v>
      </c>
      <c r="D15" s="118" t="n">
        <v>19</v>
      </c>
      <c r="E15" s="10" t="s">
        <v>715</v>
      </c>
      <c r="F15" s="10" t="s">
        <v>715</v>
      </c>
      <c r="G15" s="119" t="s">
        <v>716</v>
      </c>
    </row>
    <row r="16" customFormat="false" ht="15" hidden="false" customHeight="true" outlineLevel="0" collapsed="false">
      <c r="B16" s="31" t="s">
        <v>717</v>
      </c>
      <c r="C16" s="116" t="n">
        <v>220</v>
      </c>
      <c r="D16" s="116" t="n">
        <v>36</v>
      </c>
      <c r="E16" s="14" t="s">
        <v>718</v>
      </c>
      <c r="F16" s="14" t="s">
        <v>718</v>
      </c>
      <c r="G16" s="117" t="s">
        <v>719</v>
      </c>
    </row>
    <row r="17" customFormat="false" ht="15" hidden="false" customHeight="true" outlineLevel="0" collapsed="false">
      <c r="B17" s="34" t="s">
        <v>720</v>
      </c>
      <c r="C17" s="118" t="n">
        <v>560</v>
      </c>
      <c r="D17" s="118" t="n">
        <v>68</v>
      </c>
      <c r="E17" s="10" t="s">
        <v>721</v>
      </c>
      <c r="F17" s="10" t="s">
        <v>721</v>
      </c>
      <c r="G17" s="119" t="s">
        <v>722</v>
      </c>
    </row>
    <row r="18" customFormat="false" ht="15" hidden="false" customHeight="true" outlineLevel="0" collapsed="false">
      <c r="B18" s="31" t="s">
        <v>723</v>
      </c>
      <c r="C18" s="116" t="n">
        <v>2300</v>
      </c>
      <c r="D18" s="116" t="n">
        <v>210</v>
      </c>
      <c r="E18" s="14" t="s">
        <v>724</v>
      </c>
      <c r="F18" s="14" t="s">
        <v>724</v>
      </c>
      <c r="G18" s="117" t="s">
        <v>725</v>
      </c>
    </row>
    <row r="19" customFormat="false" ht="15" hidden="false" customHeight="true" outlineLevel="0" collapsed="false">
      <c r="B19" s="34" t="s">
        <v>726</v>
      </c>
      <c r="C19" s="118" t="n">
        <v>9000</v>
      </c>
      <c r="D19" s="118" t="n">
        <v>630</v>
      </c>
      <c r="E19" s="10" t="s">
        <v>727</v>
      </c>
      <c r="F19" s="10" t="s">
        <v>727</v>
      </c>
      <c r="G19" s="119" t="s">
        <v>728</v>
      </c>
    </row>
    <row r="21" customFormat="false" ht="21.75" hidden="false" customHeight="true" outlineLevel="0" collapsed="false">
      <c r="B21" s="30" t="s">
        <v>729</v>
      </c>
      <c r="C21" s="30"/>
      <c r="D21" s="30"/>
      <c r="E21" s="30"/>
      <c r="F21" s="30"/>
      <c r="G21" s="30"/>
    </row>
    <row r="22" customFormat="false" ht="25.5" hidden="false" customHeight="true" outlineLevel="0" collapsed="false">
      <c r="B22" s="9" t="s">
        <v>688</v>
      </c>
      <c r="C22" s="9" t="s">
        <v>730</v>
      </c>
      <c r="D22" s="9" t="s">
        <v>731</v>
      </c>
      <c r="E22" s="9"/>
      <c r="F22" s="9"/>
      <c r="G22" s="9"/>
      <c r="H22" s="9"/>
    </row>
    <row r="23" customFormat="false" ht="15" hidden="false" customHeight="true" outlineLevel="0" collapsed="false">
      <c r="B23" s="120" t="s">
        <v>589</v>
      </c>
      <c r="C23" s="121" t="n">
        <v>2600</v>
      </c>
      <c r="D23" s="121" t="n">
        <v>110</v>
      </c>
      <c r="E23" s="5"/>
      <c r="F23" s="5"/>
      <c r="G23" s="5"/>
      <c r="H23" s="5"/>
    </row>
    <row r="24" customFormat="false" ht="15" hidden="false" customHeight="true" outlineLevel="0" collapsed="false">
      <c r="B24" s="39" t="s">
        <v>692</v>
      </c>
      <c r="C24" s="109" t="n">
        <f aca="false">ROUND($C$23*1,0)</f>
        <v>2600</v>
      </c>
      <c r="D24" s="109" t="n">
        <f aca="false">ROUND($D$23*1,0)</f>
        <v>110</v>
      </c>
      <c r="E24" s="5"/>
      <c r="F24" s="5"/>
      <c r="G24" s="5"/>
      <c r="H24" s="5"/>
    </row>
    <row r="25" customFormat="false" ht="15" hidden="false" customHeight="true" outlineLevel="0" collapsed="false">
      <c r="B25" s="11" t="s">
        <v>701</v>
      </c>
      <c r="C25" s="108" t="n">
        <f aca="false">ROUND($C$23*8,0)</f>
        <v>20800</v>
      </c>
      <c r="D25" s="108" t="n">
        <f aca="false">ROUND($D$23*4,0)</f>
        <v>440</v>
      </c>
      <c r="E25" s="5"/>
      <c r="F25" s="5"/>
      <c r="G25" s="5"/>
      <c r="H25" s="5"/>
    </row>
    <row r="26" customFormat="false" ht="15" hidden="false" customHeight="true" outlineLevel="0" collapsed="false">
      <c r="B26" s="39" t="s">
        <v>720</v>
      </c>
      <c r="C26" s="109" t="n">
        <f aca="false">ROUND($C$23*560,0)</f>
        <v>1456000</v>
      </c>
      <c r="D26" s="109" t="n">
        <f aca="false">ROUND($D$23*68,0)</f>
        <v>7480</v>
      </c>
      <c r="E26" s="5"/>
      <c r="F26" s="5"/>
      <c r="G26" s="5"/>
      <c r="H26" s="5"/>
    </row>
    <row r="27" customFormat="false" ht="15" hidden="false" customHeight="true" outlineLevel="0" collapsed="false">
      <c r="B27" s="11" t="s">
        <v>726</v>
      </c>
      <c r="C27" s="108" t="n">
        <f aca="false">ROUND($C$23*9000,0)</f>
        <v>23400000</v>
      </c>
      <c r="D27" s="108" t="n">
        <f aca="false">ROUND($D$23*630,0)</f>
        <v>69300</v>
      </c>
      <c r="E27" s="5"/>
      <c r="F27" s="5"/>
      <c r="G27" s="5"/>
      <c r="H27" s="5"/>
    </row>
    <row r="29" customFormat="false" ht="26.25" hidden="false" customHeight="true" outlineLevel="0" collapsed="false">
      <c r="B29" s="112" t="s">
        <v>732</v>
      </c>
      <c r="C29" s="112"/>
      <c r="D29" s="112"/>
      <c r="E29" s="112"/>
      <c r="F29" s="112"/>
      <c r="G29" s="112"/>
    </row>
    <row r="30" customFormat="false" ht="26.25" hidden="false" customHeight="true" outlineLevel="0" collapsed="false">
      <c r="B30" s="112" t="s">
        <v>733</v>
      </c>
      <c r="C30" s="112"/>
      <c r="D30" s="112"/>
      <c r="E30" s="112"/>
      <c r="F30" s="112"/>
      <c r="G30" s="112"/>
    </row>
    <row r="31" customFormat="false" ht="26.25" hidden="false" customHeight="true" outlineLevel="0" collapsed="false">
      <c r="B31" s="110" t="s">
        <v>734</v>
      </c>
      <c r="C31" s="110"/>
      <c r="D31" s="110"/>
      <c r="E31" s="110"/>
      <c r="F31" s="110"/>
      <c r="G31" s="110"/>
    </row>
  </sheetData>
  <mergeCells count="7">
    <mergeCell ref="A1:G1"/>
    <mergeCell ref="A2:G2"/>
    <mergeCell ref="B4:G4"/>
    <mergeCell ref="B21:G21"/>
    <mergeCell ref="B29:G29"/>
    <mergeCell ref="B30:G30"/>
    <mergeCell ref="B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6"/>
  </cols>
  <sheetData>
    <row r="1" customFormat="false" ht="33.75" hidden="false" customHeight="true" outlineLevel="0" collapsed="false">
      <c r="A1" s="2" t="s">
        <v>735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122" t="s">
        <v>736</v>
      </c>
      <c r="B2" s="122"/>
      <c r="C2" s="122"/>
      <c r="D2" s="122"/>
      <c r="E2" s="122"/>
      <c r="F2" s="122"/>
    </row>
    <row r="4" customFormat="false" ht="21.75" hidden="false" customHeight="true" outlineLevel="0" collapsed="false">
      <c r="B4" s="30" t="s">
        <v>737</v>
      </c>
      <c r="C4" s="30"/>
      <c r="D4" s="30"/>
      <c r="E4" s="30"/>
      <c r="F4" s="30"/>
    </row>
    <row r="5" customFormat="false" ht="25.5" hidden="false" customHeight="true" outlineLevel="0" collapsed="false">
      <c r="B5" s="123" t="s">
        <v>738</v>
      </c>
      <c r="C5" s="123" t="s">
        <v>88</v>
      </c>
      <c r="D5" s="123" t="s">
        <v>739</v>
      </c>
      <c r="E5" s="123" t="s">
        <v>740</v>
      </c>
      <c r="F5" s="123" t="s">
        <v>90</v>
      </c>
      <c r="G5" s="123" t="s">
        <v>12</v>
      </c>
    </row>
    <row r="6" customFormat="false" ht="29.85" hidden="false" customHeight="false" outlineLevel="0" collapsed="false">
      <c r="B6" s="124" t="s">
        <v>741</v>
      </c>
      <c r="C6" s="16" t="s">
        <v>742</v>
      </c>
      <c r="D6" s="32" t="s">
        <v>37</v>
      </c>
      <c r="E6" s="125" t="s">
        <v>743</v>
      </c>
      <c r="F6" s="125" t="s">
        <v>744</v>
      </c>
    </row>
    <row r="7" customFormat="false" ht="41" hidden="false" customHeight="false" outlineLevel="0" collapsed="false">
      <c r="B7" s="126" t="s">
        <v>745</v>
      </c>
      <c r="C7" s="25" t="s">
        <v>746</v>
      </c>
      <c r="D7" s="35" t="s">
        <v>31</v>
      </c>
      <c r="E7" s="127" t="s">
        <v>747</v>
      </c>
      <c r="F7" s="127" t="s">
        <v>748</v>
      </c>
    </row>
    <row r="9" customFormat="false" ht="26.85" hidden="false" customHeight="true" outlineLevel="0" collapsed="false">
      <c r="B9" s="26" t="s">
        <v>749</v>
      </c>
      <c r="C9" s="26"/>
      <c r="D9" s="26"/>
      <c r="E9" s="26"/>
      <c r="F9" s="26"/>
    </row>
    <row r="11" customFormat="false" ht="21.75" hidden="false" customHeight="true" outlineLevel="0" collapsed="false">
      <c r="B11" s="30" t="s">
        <v>750</v>
      </c>
      <c r="C11" s="30"/>
      <c r="D11" s="30"/>
      <c r="E11" s="30"/>
      <c r="F11" s="30"/>
    </row>
    <row r="12" customFormat="false" ht="25.5" hidden="false" customHeight="true" outlineLevel="0" collapsed="false">
      <c r="B12" s="123" t="s">
        <v>751</v>
      </c>
      <c r="C12" s="123" t="s">
        <v>88</v>
      </c>
      <c r="D12" s="123" t="s">
        <v>752</v>
      </c>
      <c r="E12" s="123" t="s">
        <v>753</v>
      </c>
      <c r="F12" s="123" t="s">
        <v>754</v>
      </c>
      <c r="G12" s="8"/>
    </row>
    <row r="13" customFormat="false" ht="29.85" hidden="false" customHeight="false" outlineLevel="0" collapsed="false">
      <c r="B13" s="128" t="s">
        <v>755</v>
      </c>
      <c r="C13" s="25" t="s">
        <v>756</v>
      </c>
      <c r="D13" s="127" t="s">
        <v>757</v>
      </c>
      <c r="E13" s="127" t="s">
        <v>758</v>
      </c>
      <c r="F13" s="38" t="s">
        <v>19</v>
      </c>
    </row>
    <row r="14" customFormat="false" ht="29.85" hidden="false" customHeight="false" outlineLevel="0" collapsed="false">
      <c r="B14" s="129" t="s">
        <v>759</v>
      </c>
      <c r="C14" s="16" t="s">
        <v>760</v>
      </c>
      <c r="D14" s="125" t="s">
        <v>761</v>
      </c>
      <c r="E14" s="125" t="s">
        <v>762</v>
      </c>
      <c r="F14" s="41" t="s">
        <v>46</v>
      </c>
    </row>
    <row r="15" customFormat="false" ht="29.85" hidden="false" customHeight="false" outlineLevel="0" collapsed="false">
      <c r="B15" s="130" t="s">
        <v>763</v>
      </c>
      <c r="C15" s="25" t="s">
        <v>764</v>
      </c>
      <c r="D15" s="127" t="s">
        <v>765</v>
      </c>
      <c r="E15" s="127" t="s">
        <v>766</v>
      </c>
      <c r="F15" s="38" t="s">
        <v>31</v>
      </c>
    </row>
    <row r="16" customFormat="false" ht="29.85" hidden="false" customHeight="false" outlineLevel="0" collapsed="false">
      <c r="B16" s="131" t="s">
        <v>767</v>
      </c>
      <c r="C16" s="16" t="s">
        <v>768</v>
      </c>
      <c r="D16" s="125" t="s">
        <v>769</v>
      </c>
      <c r="E16" s="125" t="s">
        <v>770</v>
      </c>
      <c r="F16" s="41" t="s">
        <v>58</v>
      </c>
    </row>
    <row r="17" customFormat="false" ht="29.85" hidden="false" customHeight="false" outlineLevel="0" collapsed="false">
      <c r="B17" s="126" t="s">
        <v>771</v>
      </c>
      <c r="C17" s="25" t="s">
        <v>772</v>
      </c>
      <c r="D17" s="127" t="s">
        <v>773</v>
      </c>
      <c r="E17" s="127" t="s">
        <v>774</v>
      </c>
      <c r="F17" s="38" t="s">
        <v>775</v>
      </c>
    </row>
    <row r="18" customFormat="false" ht="15" hidden="false" customHeight="false" outlineLevel="0" collapsed="false">
      <c r="B18" s="132" t="s">
        <v>776</v>
      </c>
      <c r="C18" s="16" t="s">
        <v>777</v>
      </c>
      <c r="D18" s="125" t="s">
        <v>778</v>
      </c>
      <c r="E18" s="125" t="s">
        <v>779</v>
      </c>
      <c r="F18" s="41" t="s">
        <v>775</v>
      </c>
    </row>
    <row r="19" customFormat="false" ht="29.85" hidden="false" customHeight="false" outlineLevel="0" collapsed="false">
      <c r="B19" s="133" t="s">
        <v>780</v>
      </c>
      <c r="C19" s="25" t="s">
        <v>781</v>
      </c>
      <c r="D19" s="127" t="s">
        <v>782</v>
      </c>
      <c r="E19" s="127" t="s">
        <v>783</v>
      </c>
      <c r="F19" s="38" t="s">
        <v>784</v>
      </c>
    </row>
    <row r="21" customFormat="false" ht="21.75" hidden="false" customHeight="true" outlineLevel="0" collapsed="false">
      <c r="B21" s="30" t="s">
        <v>785</v>
      </c>
      <c r="C21" s="30"/>
      <c r="D21" s="30"/>
      <c r="E21" s="30"/>
      <c r="F21" s="30"/>
    </row>
    <row r="22" customFormat="false" ht="25.5" hidden="false" customHeight="true" outlineLevel="0" collapsed="false">
      <c r="B22" s="123" t="s">
        <v>119</v>
      </c>
      <c r="C22" s="123" t="s">
        <v>786</v>
      </c>
      <c r="D22" s="123" t="s">
        <v>88</v>
      </c>
      <c r="E22" s="123" t="s">
        <v>787</v>
      </c>
      <c r="F22" s="123" t="s">
        <v>788</v>
      </c>
      <c r="G22" s="8"/>
    </row>
    <row r="23" customFormat="false" ht="15" hidden="false" customHeight="false" outlineLevel="0" collapsed="false">
      <c r="B23" s="126" t="s">
        <v>125</v>
      </c>
      <c r="C23" s="134" t="s">
        <v>789</v>
      </c>
      <c r="D23" s="25" t="s">
        <v>790</v>
      </c>
      <c r="E23" s="10" t="s">
        <v>791</v>
      </c>
      <c r="F23" s="127" t="s">
        <v>792</v>
      </c>
    </row>
    <row r="24" customFormat="false" ht="15" hidden="false" customHeight="false" outlineLevel="0" collapsed="false">
      <c r="B24" s="124" t="s">
        <v>128</v>
      </c>
      <c r="C24" s="135" t="s">
        <v>789</v>
      </c>
      <c r="D24" s="16" t="s">
        <v>793</v>
      </c>
      <c r="E24" s="14" t="s">
        <v>794</v>
      </c>
      <c r="F24" s="125" t="s">
        <v>795</v>
      </c>
    </row>
    <row r="25" customFormat="false" ht="15" hidden="false" customHeight="false" outlineLevel="0" collapsed="false">
      <c r="B25" s="126" t="s">
        <v>129</v>
      </c>
      <c r="C25" s="134" t="s">
        <v>796</v>
      </c>
      <c r="D25" s="25" t="s">
        <v>797</v>
      </c>
      <c r="E25" s="10" t="s">
        <v>798</v>
      </c>
      <c r="F25" s="127" t="s">
        <v>799</v>
      </c>
    </row>
    <row r="26" customFormat="false" ht="15" hidden="false" customHeight="false" outlineLevel="0" collapsed="false">
      <c r="B26" s="124" t="s">
        <v>130</v>
      </c>
      <c r="C26" s="135" t="s">
        <v>800</v>
      </c>
      <c r="D26" s="16" t="s">
        <v>801</v>
      </c>
      <c r="E26" s="14" t="s">
        <v>802</v>
      </c>
      <c r="F26" s="125" t="s">
        <v>803</v>
      </c>
    </row>
    <row r="27" customFormat="false" ht="15" hidden="false" customHeight="false" outlineLevel="0" collapsed="false">
      <c r="B27" s="126" t="s">
        <v>131</v>
      </c>
      <c r="C27" s="134" t="s">
        <v>804</v>
      </c>
      <c r="D27" s="25" t="s">
        <v>805</v>
      </c>
      <c r="E27" s="10" t="s">
        <v>791</v>
      </c>
      <c r="F27" s="127" t="s">
        <v>806</v>
      </c>
    </row>
    <row r="28" customFormat="false" ht="15" hidden="false" customHeight="false" outlineLevel="0" collapsed="false">
      <c r="B28" s="124" t="s">
        <v>132</v>
      </c>
      <c r="C28" s="135" t="s">
        <v>807</v>
      </c>
      <c r="D28" s="16" t="s">
        <v>808</v>
      </c>
      <c r="E28" s="136" t="s">
        <v>809</v>
      </c>
      <c r="F28" s="125" t="s">
        <v>810</v>
      </c>
    </row>
    <row r="30" customFormat="false" ht="26.85" hidden="false" customHeight="true" outlineLevel="0" collapsed="false">
      <c r="B30" s="137" t="s">
        <v>811</v>
      </c>
      <c r="C30" s="137"/>
      <c r="D30" s="137"/>
      <c r="E30" s="137"/>
      <c r="F30" s="137"/>
    </row>
    <row r="32" customFormat="false" ht="21.75" hidden="false" customHeight="true" outlineLevel="0" collapsed="false">
      <c r="B32" s="30" t="s">
        <v>812</v>
      </c>
      <c r="C32" s="30"/>
      <c r="D32" s="30"/>
      <c r="E32" s="30"/>
      <c r="F32" s="30"/>
    </row>
    <row r="33" customFormat="false" ht="25.5" hidden="false" customHeight="true" outlineLevel="0" collapsed="false">
      <c r="B33" s="123" t="s">
        <v>813</v>
      </c>
      <c r="C33" s="123" t="s">
        <v>814</v>
      </c>
      <c r="D33" s="123" t="s">
        <v>815</v>
      </c>
      <c r="E33" s="123" t="s">
        <v>816</v>
      </c>
      <c r="F33" s="8"/>
      <c r="G33" s="8"/>
    </row>
    <row r="34" customFormat="false" ht="29.85" hidden="false" customHeight="false" outlineLevel="0" collapsed="false">
      <c r="B34" s="42" t="s">
        <v>19</v>
      </c>
      <c r="C34" s="125" t="s">
        <v>817</v>
      </c>
      <c r="D34" s="32" t="s">
        <v>19</v>
      </c>
      <c r="E34" s="32" t="s">
        <v>385</v>
      </c>
      <c r="F34" s="5"/>
      <c r="G34" s="5"/>
    </row>
    <row r="35" customFormat="false" ht="29.85" hidden="false" customHeight="false" outlineLevel="0" collapsed="false">
      <c r="B35" s="44" t="s">
        <v>818</v>
      </c>
      <c r="C35" s="127" t="s">
        <v>819</v>
      </c>
      <c r="D35" s="35" t="s">
        <v>27</v>
      </c>
      <c r="E35" s="35" t="s">
        <v>385</v>
      </c>
      <c r="F35" s="5"/>
      <c r="G35" s="5"/>
    </row>
    <row r="36" customFormat="false" ht="15" hidden="false" customHeight="false" outlineLevel="0" collapsed="false">
      <c r="B36" s="42" t="s">
        <v>49</v>
      </c>
      <c r="C36" s="125" t="s">
        <v>820</v>
      </c>
      <c r="D36" s="32" t="s">
        <v>27</v>
      </c>
      <c r="E36" s="32" t="s">
        <v>19</v>
      </c>
      <c r="F36" s="5"/>
      <c r="G36" s="5"/>
    </row>
    <row r="37" customFormat="false" ht="29.85" hidden="false" customHeight="false" outlineLevel="0" collapsed="false">
      <c r="B37" s="44" t="s">
        <v>821</v>
      </c>
      <c r="C37" s="127" t="s">
        <v>822</v>
      </c>
      <c r="D37" s="35" t="s">
        <v>34</v>
      </c>
      <c r="E37" s="35" t="s">
        <v>19</v>
      </c>
      <c r="F37" s="5"/>
      <c r="G37" s="5"/>
    </row>
    <row r="38" customFormat="false" ht="15" hidden="false" customHeight="false" outlineLevel="0" collapsed="false">
      <c r="B38" s="42" t="s">
        <v>73</v>
      </c>
      <c r="C38" s="125" t="s">
        <v>823</v>
      </c>
      <c r="D38" s="32" t="s">
        <v>34</v>
      </c>
      <c r="E38" s="32" t="s">
        <v>23</v>
      </c>
      <c r="F38" s="5"/>
      <c r="G38" s="5"/>
    </row>
    <row r="39" customFormat="false" ht="15" hidden="false" customHeight="false" outlineLevel="0" collapsed="false">
      <c r="B39" s="44" t="s">
        <v>824</v>
      </c>
      <c r="C39" s="127" t="s">
        <v>825</v>
      </c>
      <c r="D39" s="35" t="s">
        <v>34</v>
      </c>
      <c r="E39" s="35" t="s">
        <v>27</v>
      </c>
      <c r="F39" s="5"/>
      <c r="G39" s="5"/>
    </row>
    <row r="40" customFormat="false" ht="29.85" hidden="false" customHeight="false" outlineLevel="0" collapsed="false">
      <c r="B40" s="42" t="s">
        <v>826</v>
      </c>
      <c r="C40" s="125" t="s">
        <v>827</v>
      </c>
      <c r="D40" s="32" t="s">
        <v>37</v>
      </c>
      <c r="E40" s="32" t="s">
        <v>27</v>
      </c>
      <c r="F40" s="5"/>
      <c r="G40" s="5"/>
    </row>
    <row r="41" customFormat="false" ht="29.85" hidden="false" customHeight="false" outlineLevel="0" collapsed="false">
      <c r="B41" s="44" t="s">
        <v>828</v>
      </c>
      <c r="C41" s="127" t="s">
        <v>829</v>
      </c>
      <c r="D41" s="35" t="s">
        <v>37</v>
      </c>
      <c r="E41" s="35" t="s">
        <v>31</v>
      </c>
      <c r="F41" s="5"/>
      <c r="G41" s="5"/>
    </row>
    <row r="43" customFormat="false" ht="26.85" hidden="false" customHeight="true" outlineLevel="0" collapsed="false">
      <c r="B43" s="26" t="s">
        <v>830</v>
      </c>
      <c r="C43" s="26"/>
      <c r="D43" s="26"/>
      <c r="E43" s="26"/>
      <c r="F43" s="26"/>
    </row>
    <row r="44" customFormat="false" ht="26.85" hidden="false" customHeight="true" outlineLevel="0" collapsed="false">
      <c r="B44" s="137" t="s">
        <v>831</v>
      </c>
      <c r="C44" s="137"/>
      <c r="D44" s="137"/>
      <c r="E44" s="137"/>
      <c r="F44" s="137"/>
    </row>
  </sheetData>
  <mergeCells count="10">
    <mergeCell ref="A1:F1"/>
    <mergeCell ref="A2:F2"/>
    <mergeCell ref="B4:F4"/>
    <mergeCell ref="B9:F9"/>
    <mergeCell ref="B11:F11"/>
    <mergeCell ref="B21:F21"/>
    <mergeCell ref="B30:F30"/>
    <mergeCell ref="B32:F32"/>
    <mergeCell ref="B43:F43"/>
    <mergeCell ref="B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34"/>
  </cols>
  <sheetData>
    <row r="1" customFormat="false" ht="33.75" hidden="false" customHeight="true" outlineLevel="0" collapsed="false">
      <c r="A1" s="2" t="s">
        <v>832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122" t="s">
        <v>833</v>
      </c>
      <c r="B2" s="122"/>
      <c r="C2" s="122"/>
      <c r="D2" s="122"/>
      <c r="E2" s="122"/>
      <c r="F2" s="122"/>
      <c r="G2" s="122"/>
      <c r="H2" s="122"/>
    </row>
    <row r="4" customFormat="false" ht="21.75" hidden="false" customHeight="true" outlineLevel="0" collapsed="false">
      <c r="B4" s="30" t="s">
        <v>834</v>
      </c>
      <c r="C4" s="30"/>
      <c r="D4" s="30"/>
      <c r="E4" s="30"/>
      <c r="F4" s="30"/>
      <c r="G4" s="30"/>
      <c r="H4" s="30"/>
    </row>
    <row r="5" customFormat="false" ht="25.5" hidden="false" customHeight="true" outlineLevel="0" collapsed="false">
      <c r="B5" s="123" t="s">
        <v>835</v>
      </c>
      <c r="C5" s="123" t="s">
        <v>751</v>
      </c>
      <c r="D5" s="123" t="s">
        <v>836</v>
      </c>
      <c r="E5" s="123" t="s">
        <v>837</v>
      </c>
      <c r="F5" s="123" t="s">
        <v>838</v>
      </c>
      <c r="G5" s="123" t="s">
        <v>839</v>
      </c>
      <c r="H5" s="123" t="s">
        <v>513</v>
      </c>
    </row>
    <row r="6" customFormat="false" ht="15" hidden="false" customHeight="false" outlineLevel="0" collapsed="false">
      <c r="B6" s="124" t="s">
        <v>840</v>
      </c>
      <c r="C6" s="138" t="s">
        <v>755</v>
      </c>
      <c r="D6" s="41" t="n">
        <v>1</v>
      </c>
      <c r="E6" s="14" t="s">
        <v>335</v>
      </c>
      <c r="F6" s="14" t="s">
        <v>335</v>
      </c>
      <c r="G6" s="139" t="n">
        <v>1.1</v>
      </c>
      <c r="H6" s="125" t="s">
        <v>841</v>
      </c>
    </row>
    <row r="7" customFormat="false" ht="15" hidden="false" customHeight="false" outlineLevel="0" collapsed="false">
      <c r="B7" s="126" t="s">
        <v>842</v>
      </c>
      <c r="C7" s="140" t="s">
        <v>755</v>
      </c>
      <c r="D7" s="38" t="n">
        <v>2</v>
      </c>
      <c r="E7" s="10" t="s">
        <v>335</v>
      </c>
      <c r="F7" s="10" t="s">
        <v>335</v>
      </c>
      <c r="G7" s="141" t="n">
        <v>0.95</v>
      </c>
      <c r="H7" s="127" t="s">
        <v>843</v>
      </c>
    </row>
    <row r="8" customFormat="false" ht="15" hidden="false" customHeight="false" outlineLevel="0" collapsed="false">
      <c r="B8" s="124" t="s">
        <v>844</v>
      </c>
      <c r="C8" s="138" t="s">
        <v>755</v>
      </c>
      <c r="D8" s="41" t="n">
        <v>3</v>
      </c>
      <c r="E8" s="14" t="s">
        <v>335</v>
      </c>
      <c r="F8" s="14" t="s">
        <v>335</v>
      </c>
      <c r="G8" s="139" t="n">
        <v>1.25</v>
      </c>
      <c r="H8" s="125" t="s">
        <v>845</v>
      </c>
    </row>
    <row r="9" customFormat="false" ht="15" hidden="false" customHeight="false" outlineLevel="0" collapsed="false">
      <c r="B9" s="126" t="s">
        <v>846</v>
      </c>
      <c r="C9" s="140" t="s">
        <v>755</v>
      </c>
      <c r="D9" s="38" t="n">
        <v>5</v>
      </c>
      <c r="E9" s="10" t="s">
        <v>335</v>
      </c>
      <c r="F9" s="10" t="s">
        <v>335</v>
      </c>
      <c r="G9" s="141" t="n">
        <v>1.65</v>
      </c>
      <c r="H9" s="127" t="s">
        <v>847</v>
      </c>
    </row>
    <row r="10" customFormat="false" ht="15" hidden="false" customHeight="false" outlineLevel="0" collapsed="false">
      <c r="B10" s="124" t="s">
        <v>848</v>
      </c>
      <c r="C10" s="142" t="s">
        <v>759</v>
      </c>
      <c r="D10" s="41" t="n">
        <v>9</v>
      </c>
      <c r="E10" s="14" t="s">
        <v>849</v>
      </c>
      <c r="F10" s="14" t="s">
        <v>335</v>
      </c>
      <c r="G10" s="139" t="n">
        <v>2.6</v>
      </c>
      <c r="H10" s="125" t="s">
        <v>850</v>
      </c>
    </row>
    <row r="11" customFormat="false" ht="15" hidden="false" customHeight="false" outlineLevel="0" collapsed="false">
      <c r="B11" s="126" t="s">
        <v>851</v>
      </c>
      <c r="C11" s="143" t="s">
        <v>759</v>
      </c>
      <c r="D11" s="38" t="n">
        <v>11</v>
      </c>
      <c r="E11" s="10" t="s">
        <v>824</v>
      </c>
      <c r="F11" s="10" t="s">
        <v>335</v>
      </c>
      <c r="G11" s="141" t="n">
        <v>2.9</v>
      </c>
      <c r="H11" s="127" t="s">
        <v>852</v>
      </c>
    </row>
    <row r="12" customFormat="false" ht="15" hidden="false" customHeight="false" outlineLevel="0" collapsed="false">
      <c r="B12" s="124" t="s">
        <v>853</v>
      </c>
      <c r="C12" s="142" t="s">
        <v>759</v>
      </c>
      <c r="D12" s="41" t="n">
        <v>13</v>
      </c>
      <c r="E12" s="14" t="s">
        <v>854</v>
      </c>
      <c r="F12" s="14" t="s">
        <v>335</v>
      </c>
      <c r="G12" s="139" t="n">
        <v>2.1</v>
      </c>
      <c r="H12" s="125" t="s">
        <v>855</v>
      </c>
    </row>
    <row r="13" customFormat="false" ht="15" hidden="false" customHeight="false" outlineLevel="0" collapsed="false">
      <c r="B13" s="126" t="s">
        <v>856</v>
      </c>
      <c r="C13" s="143" t="s">
        <v>759</v>
      </c>
      <c r="D13" s="38" t="n">
        <v>15</v>
      </c>
      <c r="E13" s="10" t="s">
        <v>857</v>
      </c>
      <c r="F13" s="10" t="s">
        <v>335</v>
      </c>
      <c r="G13" s="141" t="n">
        <v>2</v>
      </c>
      <c r="H13" s="127" t="s">
        <v>858</v>
      </c>
    </row>
    <row r="14" customFormat="false" ht="15" hidden="false" customHeight="false" outlineLevel="0" collapsed="false">
      <c r="B14" s="124" t="s">
        <v>859</v>
      </c>
      <c r="C14" s="144" t="s">
        <v>763</v>
      </c>
      <c r="D14" s="41" t="n">
        <v>4</v>
      </c>
      <c r="E14" s="14" t="s">
        <v>73</v>
      </c>
      <c r="F14" s="14" t="s">
        <v>335</v>
      </c>
      <c r="G14" s="139" t="n">
        <v>2</v>
      </c>
      <c r="H14" s="125" t="s">
        <v>860</v>
      </c>
    </row>
    <row r="15" customFormat="false" ht="15" hidden="false" customHeight="false" outlineLevel="0" collapsed="false">
      <c r="B15" s="126" t="s">
        <v>861</v>
      </c>
      <c r="C15" s="145" t="s">
        <v>763</v>
      </c>
      <c r="D15" s="38" t="n">
        <v>12</v>
      </c>
      <c r="E15" s="10" t="s">
        <v>862</v>
      </c>
      <c r="F15" s="10" t="s">
        <v>863</v>
      </c>
      <c r="G15" s="50" t="s">
        <v>335</v>
      </c>
      <c r="H15" s="127" t="s">
        <v>864</v>
      </c>
    </row>
    <row r="16" customFormat="false" ht="15" hidden="false" customHeight="false" outlineLevel="0" collapsed="false">
      <c r="B16" s="124" t="s">
        <v>865</v>
      </c>
      <c r="C16" s="144" t="s">
        <v>763</v>
      </c>
      <c r="D16" s="41" t="n">
        <v>22</v>
      </c>
      <c r="E16" s="14" t="s">
        <v>73</v>
      </c>
      <c r="F16" s="14" t="s">
        <v>335</v>
      </c>
      <c r="G16" s="49" t="s">
        <v>335</v>
      </c>
      <c r="H16" s="125" t="s">
        <v>866</v>
      </c>
    </row>
    <row r="17" customFormat="false" ht="15" hidden="false" customHeight="false" outlineLevel="0" collapsed="false">
      <c r="B17" s="126" t="s">
        <v>867</v>
      </c>
      <c r="C17" s="145" t="s">
        <v>763</v>
      </c>
      <c r="D17" s="38" t="n">
        <v>17</v>
      </c>
      <c r="E17" s="10" t="s">
        <v>335</v>
      </c>
      <c r="F17" s="10" t="s">
        <v>863</v>
      </c>
      <c r="G17" s="50" t="s">
        <v>335</v>
      </c>
      <c r="H17" s="127" t="s">
        <v>868</v>
      </c>
    </row>
    <row r="18" customFormat="false" ht="15" hidden="false" customHeight="false" outlineLevel="0" collapsed="false">
      <c r="B18" s="124" t="s">
        <v>646</v>
      </c>
      <c r="C18" s="146" t="s">
        <v>767</v>
      </c>
      <c r="D18" s="41" t="n">
        <v>13</v>
      </c>
      <c r="E18" s="14" t="s">
        <v>335</v>
      </c>
      <c r="F18" s="14" t="s">
        <v>869</v>
      </c>
      <c r="G18" s="49" t="s">
        <v>335</v>
      </c>
      <c r="H18" s="125" t="s">
        <v>870</v>
      </c>
    </row>
    <row r="19" customFormat="false" ht="15" hidden="false" customHeight="false" outlineLevel="0" collapsed="false">
      <c r="B19" s="126" t="s">
        <v>871</v>
      </c>
      <c r="C19" s="147" t="s">
        <v>776</v>
      </c>
      <c r="D19" s="38" t="n">
        <v>16</v>
      </c>
      <c r="E19" s="10" t="s">
        <v>872</v>
      </c>
      <c r="F19" s="10" t="s">
        <v>335</v>
      </c>
      <c r="G19" s="141" t="n">
        <v>2.45</v>
      </c>
      <c r="H19" s="127" t="s">
        <v>873</v>
      </c>
    </row>
    <row r="20" customFormat="false" ht="15" hidden="false" customHeight="false" outlineLevel="0" collapsed="false">
      <c r="B20" s="124" t="s">
        <v>874</v>
      </c>
      <c r="C20" s="148" t="s">
        <v>776</v>
      </c>
      <c r="D20" s="41" t="n">
        <v>20</v>
      </c>
      <c r="E20" s="14" t="s">
        <v>875</v>
      </c>
      <c r="F20" s="14" t="s">
        <v>335</v>
      </c>
      <c r="G20" s="139" t="n">
        <v>3</v>
      </c>
      <c r="H20" s="125" t="s">
        <v>876</v>
      </c>
    </row>
    <row r="21" customFormat="false" ht="15" hidden="false" customHeight="false" outlineLevel="0" collapsed="false">
      <c r="B21" s="126" t="s">
        <v>877</v>
      </c>
      <c r="C21" s="149" t="s">
        <v>771</v>
      </c>
      <c r="D21" s="38" t="n">
        <v>24</v>
      </c>
      <c r="E21" s="10" t="s">
        <v>872</v>
      </c>
      <c r="F21" s="10" t="s">
        <v>335</v>
      </c>
      <c r="G21" s="50" t="s">
        <v>335</v>
      </c>
      <c r="H21" s="127" t="s">
        <v>878</v>
      </c>
    </row>
    <row r="22" customFormat="false" ht="15" hidden="false" customHeight="false" outlineLevel="0" collapsed="false">
      <c r="B22" s="124" t="s">
        <v>879</v>
      </c>
      <c r="C22" s="150" t="s">
        <v>771</v>
      </c>
      <c r="D22" s="41" t="n">
        <v>30</v>
      </c>
      <c r="E22" s="14" t="s">
        <v>335</v>
      </c>
      <c r="F22" s="14" t="s">
        <v>335</v>
      </c>
      <c r="G22" s="49" t="s">
        <v>335</v>
      </c>
      <c r="H22" s="125" t="s">
        <v>880</v>
      </c>
    </row>
    <row r="23" customFormat="false" ht="15" hidden="false" customHeight="false" outlineLevel="0" collapsed="false">
      <c r="B23" s="126" t="s">
        <v>881</v>
      </c>
      <c r="C23" s="151" t="s">
        <v>780</v>
      </c>
      <c r="D23" s="38" t="n">
        <v>26</v>
      </c>
      <c r="E23" s="10" t="s">
        <v>882</v>
      </c>
      <c r="F23" s="10" t="s">
        <v>335</v>
      </c>
      <c r="G23" s="141" t="n">
        <v>5.45</v>
      </c>
      <c r="H23" s="127" t="s">
        <v>883</v>
      </c>
    </row>
    <row r="24" customFormat="false" ht="15" hidden="false" customHeight="false" outlineLevel="0" collapsed="false">
      <c r="B24" s="124" t="s">
        <v>884</v>
      </c>
      <c r="C24" s="152" t="s">
        <v>780</v>
      </c>
      <c r="D24" s="41" t="n">
        <v>30</v>
      </c>
      <c r="E24" s="14" t="s">
        <v>882</v>
      </c>
      <c r="F24" s="14" t="s">
        <v>335</v>
      </c>
      <c r="G24" s="139" t="n">
        <v>4</v>
      </c>
      <c r="H24" s="125" t="s">
        <v>885</v>
      </c>
    </row>
    <row r="25" customFormat="false" ht="15" hidden="false" customHeight="false" outlineLevel="0" collapsed="false">
      <c r="B25" s="126" t="s">
        <v>886</v>
      </c>
      <c r="C25" s="151" t="s">
        <v>780</v>
      </c>
      <c r="D25" s="38" t="n">
        <v>61</v>
      </c>
      <c r="E25" s="10" t="s">
        <v>335</v>
      </c>
      <c r="F25" s="10" t="s">
        <v>887</v>
      </c>
      <c r="G25" s="141" t="n">
        <v>6</v>
      </c>
      <c r="H25" s="127" t="s">
        <v>888</v>
      </c>
    </row>
    <row r="27" customFormat="false" ht="26.85" hidden="false" customHeight="true" outlineLevel="0" collapsed="false">
      <c r="B27" s="137" t="s">
        <v>889</v>
      </c>
      <c r="C27" s="137"/>
      <c r="D27" s="137"/>
      <c r="E27" s="137"/>
      <c r="F27" s="137"/>
      <c r="G27" s="137"/>
      <c r="H27" s="137"/>
    </row>
    <row r="28" customFormat="false" ht="26.85" hidden="false" customHeight="true" outlineLevel="0" collapsed="false">
      <c r="B28" s="26" t="s">
        <v>890</v>
      </c>
      <c r="C28" s="26"/>
      <c r="D28" s="26"/>
      <c r="E28" s="26"/>
      <c r="F28" s="26"/>
      <c r="G28" s="26"/>
      <c r="H28" s="26"/>
    </row>
    <row r="29" customFormat="false" ht="15" hidden="false" customHeight="true" outlineLevel="0" collapsed="false">
      <c r="B29" s="137" t="s">
        <v>891</v>
      </c>
      <c r="C29" s="137"/>
      <c r="D29" s="137"/>
      <c r="E29" s="137"/>
      <c r="F29" s="137"/>
      <c r="G29" s="137"/>
      <c r="H29" s="137"/>
    </row>
  </sheetData>
  <mergeCells count="6">
    <mergeCell ref="A1:H1"/>
    <mergeCell ref="A2:H2"/>
    <mergeCell ref="B4:H4"/>
    <mergeCell ref="B27:H27"/>
    <mergeCell ref="B28:H28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34"/>
  </cols>
  <sheetData>
    <row r="1" customFormat="false" ht="33.75" hidden="false" customHeight="true" outlineLevel="0" collapsed="false">
      <c r="A1" s="2" t="s">
        <v>892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122" t="s">
        <v>893</v>
      </c>
      <c r="B2" s="122"/>
      <c r="C2" s="122"/>
      <c r="D2" s="122"/>
      <c r="E2" s="122"/>
      <c r="F2" s="122"/>
      <c r="G2" s="122"/>
    </row>
    <row r="4" customFormat="false" ht="21.75" hidden="false" customHeight="true" outlineLevel="0" collapsed="false">
      <c r="B4" s="30" t="s">
        <v>894</v>
      </c>
      <c r="C4" s="30"/>
      <c r="D4" s="30"/>
      <c r="E4" s="30"/>
      <c r="F4" s="30"/>
      <c r="G4" s="30"/>
    </row>
    <row r="5" customFormat="false" ht="25.5" hidden="false" customHeight="true" outlineLevel="0" collapsed="false">
      <c r="B5" s="123" t="s">
        <v>895</v>
      </c>
      <c r="C5" s="123" t="s">
        <v>378</v>
      </c>
      <c r="D5" s="123" t="s">
        <v>896</v>
      </c>
      <c r="E5" s="123" t="s">
        <v>897</v>
      </c>
      <c r="F5" s="123" t="s">
        <v>898</v>
      </c>
      <c r="G5" s="8"/>
    </row>
    <row r="6" customFormat="false" ht="29.85" hidden="false" customHeight="false" outlineLevel="0" collapsed="false">
      <c r="B6" s="124" t="s">
        <v>899</v>
      </c>
      <c r="C6" s="136" t="s">
        <v>420</v>
      </c>
      <c r="D6" s="125" t="s">
        <v>900</v>
      </c>
      <c r="E6" s="153" t="s">
        <v>901</v>
      </c>
      <c r="F6" s="125" t="s">
        <v>902</v>
      </c>
      <c r="G6" s="154"/>
    </row>
    <row r="7" customFormat="false" ht="29.85" hidden="false" customHeight="false" outlineLevel="0" collapsed="false">
      <c r="B7" s="126" t="s">
        <v>903</v>
      </c>
      <c r="C7" s="155" t="s">
        <v>904</v>
      </c>
      <c r="D7" s="127" t="s">
        <v>905</v>
      </c>
      <c r="E7" s="156" t="s">
        <v>906</v>
      </c>
      <c r="F7" s="127" t="s">
        <v>907</v>
      </c>
      <c r="G7" s="157"/>
    </row>
    <row r="8" customFormat="false" ht="29.85" hidden="false" customHeight="false" outlineLevel="0" collapsed="false">
      <c r="B8" s="124" t="s">
        <v>908</v>
      </c>
      <c r="C8" s="136" t="s">
        <v>909</v>
      </c>
      <c r="D8" s="125" t="s">
        <v>910</v>
      </c>
      <c r="E8" s="153" t="s">
        <v>911</v>
      </c>
      <c r="F8" s="125" t="s">
        <v>912</v>
      </c>
      <c r="G8" s="154"/>
    </row>
    <row r="9" customFormat="false" ht="29.85" hidden="false" customHeight="false" outlineLevel="0" collapsed="false">
      <c r="B9" s="126" t="s">
        <v>913</v>
      </c>
      <c r="C9" s="155" t="s">
        <v>914</v>
      </c>
      <c r="D9" s="127" t="s">
        <v>915</v>
      </c>
      <c r="E9" s="156" t="s">
        <v>916</v>
      </c>
      <c r="F9" s="127" t="s">
        <v>917</v>
      </c>
      <c r="G9" s="157"/>
    </row>
    <row r="10" customFormat="false" ht="44" hidden="false" customHeight="false" outlineLevel="0" collapsed="false">
      <c r="B10" s="124" t="s">
        <v>918</v>
      </c>
      <c r="C10" s="136" t="s">
        <v>919</v>
      </c>
      <c r="D10" s="125" t="s">
        <v>920</v>
      </c>
      <c r="E10" s="153" t="s">
        <v>921</v>
      </c>
      <c r="F10" s="125" t="s">
        <v>922</v>
      </c>
      <c r="G10" s="154"/>
    </row>
    <row r="12" customFormat="false" ht="26.85" hidden="false" customHeight="true" outlineLevel="0" collapsed="false">
      <c r="B12" s="26" t="s">
        <v>923</v>
      </c>
      <c r="C12" s="26"/>
      <c r="D12" s="26"/>
      <c r="E12" s="26"/>
      <c r="F12" s="26"/>
      <c r="G12" s="26"/>
    </row>
    <row r="14" customFormat="false" ht="21.75" hidden="false" customHeight="true" outlineLevel="0" collapsed="false">
      <c r="B14" s="30" t="s">
        <v>924</v>
      </c>
      <c r="C14" s="30"/>
      <c r="D14" s="30"/>
      <c r="E14" s="30"/>
      <c r="F14" s="30"/>
      <c r="G14" s="30"/>
    </row>
    <row r="15" customFormat="false" ht="25.5" hidden="false" customHeight="true" outlineLevel="0" collapsed="false">
      <c r="B15" s="123" t="s">
        <v>925</v>
      </c>
      <c r="C15" s="123" t="s">
        <v>836</v>
      </c>
      <c r="D15" s="123" t="s">
        <v>895</v>
      </c>
      <c r="E15" s="123" t="s">
        <v>926</v>
      </c>
      <c r="F15" s="123" t="s">
        <v>927</v>
      </c>
      <c r="G15" s="8"/>
    </row>
    <row r="16" customFormat="false" ht="29.85" hidden="false" customHeight="false" outlineLevel="0" collapsed="false">
      <c r="B16" s="111" t="s">
        <v>928</v>
      </c>
      <c r="C16" s="41" t="n">
        <v>11</v>
      </c>
      <c r="D16" s="136" t="s">
        <v>929</v>
      </c>
      <c r="E16" s="139" t="n">
        <v>2.9</v>
      </c>
      <c r="F16" s="125" t="s">
        <v>930</v>
      </c>
      <c r="G16" s="154"/>
    </row>
    <row r="17" customFormat="false" ht="58.2" hidden="false" customHeight="false" outlineLevel="0" collapsed="false">
      <c r="B17" s="126" t="s">
        <v>931</v>
      </c>
      <c r="C17" s="38" t="n">
        <v>18</v>
      </c>
      <c r="D17" s="155" t="s">
        <v>899</v>
      </c>
      <c r="E17" s="141" t="n">
        <v>3.55</v>
      </c>
      <c r="F17" s="127" t="s">
        <v>932</v>
      </c>
      <c r="G17" s="157"/>
    </row>
    <row r="18" customFormat="false" ht="44" hidden="false" customHeight="false" outlineLevel="0" collapsed="false">
      <c r="B18" s="124" t="s">
        <v>933</v>
      </c>
      <c r="C18" s="41" t="n">
        <v>23</v>
      </c>
      <c r="D18" s="136" t="s">
        <v>903</v>
      </c>
      <c r="E18" s="139" t="n">
        <v>2.2</v>
      </c>
      <c r="F18" s="125" t="s">
        <v>934</v>
      </c>
      <c r="G18" s="154"/>
    </row>
    <row r="19" customFormat="false" ht="29.85" hidden="false" customHeight="false" outlineLevel="0" collapsed="false">
      <c r="B19" s="126" t="s">
        <v>935</v>
      </c>
      <c r="C19" s="38" t="n">
        <v>30</v>
      </c>
      <c r="D19" s="155" t="s">
        <v>908</v>
      </c>
      <c r="E19" s="141" t="n">
        <v>2.9</v>
      </c>
      <c r="F19" s="127" t="s">
        <v>936</v>
      </c>
      <c r="G19" s="157"/>
    </row>
    <row r="20" customFormat="false" ht="29.85" hidden="false" customHeight="false" outlineLevel="0" collapsed="false">
      <c r="B20" s="124" t="s">
        <v>937</v>
      </c>
      <c r="C20" s="41" t="n">
        <v>42</v>
      </c>
      <c r="D20" s="136" t="s">
        <v>918</v>
      </c>
      <c r="E20" s="139" t="n">
        <v>2.45</v>
      </c>
      <c r="F20" s="125" t="s">
        <v>938</v>
      </c>
      <c r="G20" s="154"/>
    </row>
    <row r="21" customFormat="false" ht="44" hidden="false" customHeight="false" outlineLevel="0" collapsed="false">
      <c r="B21" s="126" t="s">
        <v>939</v>
      </c>
      <c r="C21" s="38" t="n">
        <v>55</v>
      </c>
      <c r="D21" s="155" t="s">
        <v>940</v>
      </c>
      <c r="E21" s="141" t="n">
        <v>2.1</v>
      </c>
      <c r="F21" s="127" t="s">
        <v>941</v>
      </c>
      <c r="G21" s="157"/>
    </row>
    <row r="23" customFormat="false" ht="21.75" hidden="false" customHeight="true" outlineLevel="0" collapsed="false">
      <c r="B23" s="30" t="s">
        <v>942</v>
      </c>
      <c r="C23" s="30"/>
      <c r="D23" s="30"/>
      <c r="E23" s="30"/>
      <c r="F23" s="30"/>
      <c r="G23" s="30"/>
    </row>
    <row r="24" customFormat="false" ht="25.5" hidden="false" customHeight="true" outlineLevel="0" collapsed="false">
      <c r="B24" s="123" t="s">
        <v>943</v>
      </c>
      <c r="C24" s="123" t="s">
        <v>944</v>
      </c>
      <c r="D24" s="8" t="s">
        <v>945</v>
      </c>
      <c r="E24" s="123" t="s">
        <v>946</v>
      </c>
      <c r="F24" s="123" t="s">
        <v>30</v>
      </c>
      <c r="G24" s="8"/>
    </row>
    <row r="25" customFormat="false" ht="100.7" hidden="false" customHeight="false" outlineLevel="0" collapsed="false">
      <c r="B25" s="126" t="s">
        <v>947</v>
      </c>
      <c r="C25" s="24" t="s">
        <v>948</v>
      </c>
      <c r="D25" s="121" t="n">
        <v>50000</v>
      </c>
      <c r="E25" s="51" t="s">
        <v>949</v>
      </c>
      <c r="F25" s="158"/>
      <c r="G25" s="158"/>
    </row>
    <row r="26" customFormat="false" ht="15" hidden="false" customHeight="false" outlineLevel="0" collapsed="false">
      <c r="B26" s="135" t="s">
        <v>929</v>
      </c>
      <c r="C26" s="159" t="n">
        <v>2.9</v>
      </c>
      <c r="D26" s="47" t="n">
        <f aca="false">$D$25*C26</f>
        <v>145000</v>
      </c>
      <c r="E26" s="160" t="n">
        <f aca="false">D26/D26-1</f>
        <v>0</v>
      </c>
      <c r="F26" s="20" t="s">
        <v>950</v>
      </c>
      <c r="G26" s="20"/>
    </row>
    <row r="27" customFormat="false" ht="15" hidden="false" customHeight="false" outlineLevel="0" collapsed="false">
      <c r="B27" s="134" t="s">
        <v>931</v>
      </c>
      <c r="C27" s="161" t="n">
        <v>3.55</v>
      </c>
      <c r="D27" s="46" t="n">
        <f aca="false">$D$25*C27</f>
        <v>177500</v>
      </c>
      <c r="E27" s="162" t="n">
        <f aca="false">D27/D26-1</f>
        <v>0.224137931034483</v>
      </c>
      <c r="F27" s="23" t="s">
        <v>950</v>
      </c>
      <c r="G27" s="23"/>
    </row>
    <row r="28" customFormat="false" ht="15" hidden="false" customHeight="false" outlineLevel="0" collapsed="false">
      <c r="B28" s="135" t="s">
        <v>933</v>
      </c>
      <c r="C28" s="159" t="n">
        <v>2.2</v>
      </c>
      <c r="D28" s="47" t="n">
        <f aca="false">$D$25*C28</f>
        <v>110000</v>
      </c>
      <c r="E28" s="160" t="n">
        <f aca="false">D28/D26-1</f>
        <v>-0.241379310344828</v>
      </c>
      <c r="F28" s="20" t="s">
        <v>950</v>
      </c>
      <c r="G28" s="20"/>
    </row>
    <row r="29" customFormat="false" ht="15" hidden="false" customHeight="false" outlineLevel="0" collapsed="false">
      <c r="B29" s="134" t="s">
        <v>935</v>
      </c>
      <c r="C29" s="161" t="n">
        <v>2.9</v>
      </c>
      <c r="D29" s="46" t="n">
        <f aca="false">$D$25*C29</f>
        <v>145000</v>
      </c>
      <c r="E29" s="162" t="n">
        <f aca="false">D29/D26-1</f>
        <v>0</v>
      </c>
      <c r="F29" s="23" t="s">
        <v>950</v>
      </c>
      <c r="G29" s="23"/>
    </row>
    <row r="30" customFormat="false" ht="15" hidden="false" customHeight="false" outlineLevel="0" collapsed="false">
      <c r="B30" s="135" t="s">
        <v>937</v>
      </c>
      <c r="C30" s="159" t="n">
        <v>2.45</v>
      </c>
      <c r="D30" s="47" t="n">
        <f aca="false">$D$25*C30</f>
        <v>122500</v>
      </c>
      <c r="E30" s="160" t="n">
        <f aca="false">D30/D26-1</f>
        <v>-0.155172413793103</v>
      </c>
      <c r="F30" s="20" t="s">
        <v>950</v>
      </c>
      <c r="G30" s="20"/>
    </row>
    <row r="31" customFormat="false" ht="15" hidden="false" customHeight="false" outlineLevel="0" collapsed="false">
      <c r="B31" s="134" t="s">
        <v>939</v>
      </c>
      <c r="C31" s="161" t="n">
        <v>2.1</v>
      </c>
      <c r="D31" s="46" t="n">
        <f aca="false">$D$25*C31</f>
        <v>105000</v>
      </c>
      <c r="E31" s="162" t="n">
        <f aca="false">D31/D26-1</f>
        <v>-0.275862068965517</v>
      </c>
      <c r="F31" s="23" t="s">
        <v>950</v>
      </c>
      <c r="G31" s="23"/>
    </row>
    <row r="33" customFormat="false" ht="26.85" hidden="false" customHeight="true" outlineLevel="0" collapsed="false">
      <c r="B33" s="137" t="s">
        <v>951</v>
      </c>
      <c r="C33" s="137"/>
      <c r="D33" s="137"/>
      <c r="E33" s="137"/>
      <c r="F33" s="137"/>
      <c r="G33" s="137"/>
    </row>
    <row r="34" customFormat="false" ht="26.85" hidden="false" customHeight="true" outlineLevel="0" collapsed="false">
      <c r="B34" s="137" t="s">
        <v>952</v>
      </c>
      <c r="C34" s="137"/>
      <c r="D34" s="137"/>
      <c r="E34" s="137"/>
      <c r="F34" s="137"/>
      <c r="G34" s="137"/>
    </row>
  </sheetData>
  <mergeCells count="15">
    <mergeCell ref="A1:G1"/>
    <mergeCell ref="A2:G2"/>
    <mergeCell ref="B4:G4"/>
    <mergeCell ref="B12:G12"/>
    <mergeCell ref="B14:G14"/>
    <mergeCell ref="B23:G23"/>
    <mergeCell ref="F25:G25"/>
    <mergeCell ref="F26:G26"/>
    <mergeCell ref="F27:G27"/>
    <mergeCell ref="F28:G28"/>
    <mergeCell ref="F29:G29"/>
    <mergeCell ref="F30:G30"/>
    <mergeCell ref="F31:G31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52"/>
  </cols>
  <sheetData>
    <row r="1" customFormat="false" ht="33.75" hidden="false" customHeight="true" outlineLevel="0" collapsed="false">
      <c r="A1" s="2" t="s">
        <v>953</v>
      </c>
      <c r="B1" s="2"/>
      <c r="C1" s="2"/>
      <c r="D1" s="2"/>
      <c r="E1" s="2"/>
    </row>
    <row r="2" customFormat="false" ht="18" hidden="false" customHeight="true" outlineLevel="0" collapsed="false">
      <c r="A2" s="122" t="s">
        <v>954</v>
      </c>
      <c r="B2" s="122"/>
      <c r="C2" s="122"/>
      <c r="D2" s="122"/>
      <c r="E2" s="122"/>
    </row>
    <row r="4" customFormat="false" ht="21.75" hidden="false" customHeight="true" outlineLevel="0" collapsed="false">
      <c r="B4" s="30" t="s">
        <v>955</v>
      </c>
      <c r="C4" s="30"/>
      <c r="D4" s="30"/>
      <c r="E4" s="30"/>
    </row>
    <row r="5" customFormat="false" ht="25.5" hidden="false" customHeight="true" outlineLevel="0" collapsed="false">
      <c r="B5" s="123" t="s">
        <v>279</v>
      </c>
      <c r="C5" s="123" t="s">
        <v>813</v>
      </c>
      <c r="D5" s="123" t="s">
        <v>90</v>
      </c>
      <c r="E5" s="8"/>
      <c r="F5" s="8"/>
    </row>
    <row r="6" customFormat="false" ht="15" hidden="false" customHeight="false" outlineLevel="0" collapsed="false">
      <c r="B6" s="57" t="s">
        <v>956</v>
      </c>
      <c r="C6" s="42" t="n">
        <v>10</v>
      </c>
      <c r="D6" s="20" t="s">
        <v>957</v>
      </c>
      <c r="E6" s="20"/>
      <c r="F6" s="20"/>
    </row>
    <row r="7" customFormat="false" ht="15" hidden="false" customHeight="false" outlineLevel="0" collapsed="false">
      <c r="B7" s="59" t="s">
        <v>958</v>
      </c>
      <c r="C7" s="44" t="n">
        <v>20</v>
      </c>
      <c r="D7" s="23" t="s">
        <v>959</v>
      </c>
      <c r="E7" s="23"/>
      <c r="F7" s="23"/>
    </row>
    <row r="8" customFormat="false" ht="15" hidden="false" customHeight="false" outlineLevel="0" collapsed="false">
      <c r="B8" s="57" t="s">
        <v>960</v>
      </c>
      <c r="C8" s="42" t="n">
        <v>30</v>
      </c>
      <c r="D8" s="20" t="s">
        <v>961</v>
      </c>
      <c r="E8" s="20"/>
      <c r="F8" s="20"/>
    </row>
    <row r="9" customFormat="false" ht="15" hidden="false" customHeight="false" outlineLevel="0" collapsed="false">
      <c r="B9" s="59" t="s">
        <v>962</v>
      </c>
      <c r="C9" s="44" t="n">
        <v>70</v>
      </c>
      <c r="D9" s="23" t="s">
        <v>963</v>
      </c>
      <c r="E9" s="23"/>
      <c r="F9" s="23"/>
    </row>
    <row r="11" customFormat="false" ht="21.75" hidden="false" customHeight="true" outlineLevel="0" collapsed="false">
      <c r="B11" s="30" t="s">
        <v>964</v>
      </c>
      <c r="C11" s="30"/>
      <c r="D11" s="30"/>
      <c r="E11" s="30"/>
    </row>
    <row r="12" customFormat="false" ht="25.5" hidden="false" customHeight="true" outlineLevel="0" collapsed="false">
      <c r="B12" s="123" t="s">
        <v>965</v>
      </c>
      <c r="C12" s="123" t="s">
        <v>836</v>
      </c>
      <c r="D12" s="123" t="s">
        <v>738</v>
      </c>
      <c r="E12" s="123" t="s">
        <v>513</v>
      </c>
    </row>
    <row r="13" customFormat="false" ht="15" hidden="false" customHeight="false" outlineLevel="0" collapsed="false">
      <c r="B13" s="126" t="s">
        <v>966</v>
      </c>
      <c r="C13" s="38" t="s">
        <v>49</v>
      </c>
      <c r="D13" s="143" t="s">
        <v>967</v>
      </c>
      <c r="E13" s="127" t="s">
        <v>968</v>
      </c>
    </row>
    <row r="14" customFormat="false" ht="15" hidden="false" customHeight="false" outlineLevel="0" collapsed="false">
      <c r="B14" s="124" t="s">
        <v>969</v>
      </c>
      <c r="C14" s="41" t="s">
        <v>58</v>
      </c>
      <c r="D14" s="142" t="s">
        <v>967</v>
      </c>
      <c r="E14" s="125" t="s">
        <v>970</v>
      </c>
    </row>
    <row r="15" customFormat="false" ht="15" hidden="false" customHeight="false" outlineLevel="0" collapsed="false">
      <c r="B15" s="126" t="s">
        <v>971</v>
      </c>
      <c r="C15" s="38" t="s">
        <v>775</v>
      </c>
      <c r="D15" s="145" t="s">
        <v>972</v>
      </c>
      <c r="E15" s="51" t="s">
        <v>973</v>
      </c>
    </row>
    <row r="16" customFormat="false" ht="15" hidden="false" customHeight="false" outlineLevel="0" collapsed="false">
      <c r="B16" s="124" t="s">
        <v>974</v>
      </c>
      <c r="C16" s="41" t="s">
        <v>73</v>
      </c>
      <c r="D16" s="142" t="s">
        <v>967</v>
      </c>
      <c r="E16" s="125" t="s">
        <v>975</v>
      </c>
    </row>
    <row r="17" customFormat="false" ht="15" hidden="false" customHeight="false" outlineLevel="0" collapsed="false">
      <c r="B17" s="126" t="s">
        <v>976</v>
      </c>
      <c r="C17" s="38" t="s">
        <v>977</v>
      </c>
      <c r="D17" s="140" t="s">
        <v>978</v>
      </c>
      <c r="E17" s="127" t="s">
        <v>979</v>
      </c>
    </row>
    <row r="18" customFormat="false" ht="15" hidden="false" customHeight="false" outlineLevel="0" collapsed="false">
      <c r="B18" s="124" t="s">
        <v>980</v>
      </c>
      <c r="C18" s="41" t="s">
        <v>981</v>
      </c>
      <c r="D18" s="144" t="s">
        <v>972</v>
      </c>
      <c r="E18" s="125" t="s">
        <v>982</v>
      </c>
    </row>
    <row r="19" customFormat="false" ht="15" hidden="false" customHeight="false" outlineLevel="0" collapsed="false">
      <c r="B19" s="126" t="s">
        <v>983</v>
      </c>
      <c r="C19" s="38" t="s">
        <v>824</v>
      </c>
      <c r="D19" s="143" t="s">
        <v>967</v>
      </c>
      <c r="E19" s="127" t="s">
        <v>984</v>
      </c>
    </row>
    <row r="20" customFormat="false" ht="15" hidden="false" customHeight="false" outlineLevel="0" collapsed="false">
      <c r="B20" s="124" t="s">
        <v>985</v>
      </c>
      <c r="C20" s="41" t="s">
        <v>875</v>
      </c>
      <c r="D20" s="144" t="s">
        <v>972</v>
      </c>
      <c r="E20" s="125" t="s">
        <v>986</v>
      </c>
    </row>
    <row r="21" customFormat="false" ht="15" hidden="false" customHeight="false" outlineLevel="0" collapsed="false">
      <c r="B21" s="126" t="s">
        <v>987</v>
      </c>
      <c r="C21" s="38" t="s">
        <v>882</v>
      </c>
      <c r="D21" s="145" t="s">
        <v>972</v>
      </c>
      <c r="E21" s="127" t="s">
        <v>988</v>
      </c>
    </row>
    <row r="22" customFormat="false" ht="15" hidden="false" customHeight="false" outlineLevel="0" collapsed="false">
      <c r="B22" s="124" t="s">
        <v>989</v>
      </c>
      <c r="C22" s="41" t="s">
        <v>990</v>
      </c>
      <c r="D22" s="142" t="s">
        <v>967</v>
      </c>
      <c r="E22" s="125" t="s">
        <v>991</v>
      </c>
    </row>
    <row r="23" customFormat="false" ht="15" hidden="false" customHeight="false" outlineLevel="0" collapsed="false">
      <c r="B23" s="126" t="s">
        <v>992</v>
      </c>
      <c r="C23" s="38" t="s">
        <v>993</v>
      </c>
      <c r="D23" s="143" t="s">
        <v>967</v>
      </c>
      <c r="E23" s="127" t="s">
        <v>994</v>
      </c>
    </row>
    <row r="24" customFormat="false" ht="15" hidden="false" customHeight="false" outlineLevel="0" collapsed="false">
      <c r="B24" s="124" t="s">
        <v>995</v>
      </c>
      <c r="C24" s="41" t="s">
        <v>996</v>
      </c>
      <c r="D24" s="142" t="s">
        <v>967</v>
      </c>
      <c r="E24" s="125" t="s">
        <v>997</v>
      </c>
    </row>
    <row r="25" customFormat="false" ht="15" hidden="false" customHeight="false" outlineLevel="0" collapsed="false">
      <c r="B25" s="126" t="s">
        <v>998</v>
      </c>
      <c r="C25" s="38" t="s">
        <v>999</v>
      </c>
      <c r="D25" s="140" t="s">
        <v>978</v>
      </c>
      <c r="E25" s="127" t="s">
        <v>1000</v>
      </c>
    </row>
    <row r="26" customFormat="false" ht="15" hidden="false" customHeight="false" outlineLevel="0" collapsed="false">
      <c r="B26" s="124" t="s">
        <v>1001</v>
      </c>
      <c r="C26" s="41" t="s">
        <v>1002</v>
      </c>
      <c r="D26" s="144" t="s">
        <v>972</v>
      </c>
      <c r="E26" s="125" t="s">
        <v>1003</v>
      </c>
    </row>
    <row r="27" customFormat="false" ht="15" hidden="false" customHeight="false" outlineLevel="0" collapsed="false">
      <c r="B27" s="126" t="s">
        <v>1004</v>
      </c>
      <c r="C27" s="38" t="s">
        <v>1005</v>
      </c>
      <c r="D27" s="145" t="s">
        <v>972</v>
      </c>
      <c r="E27" s="127" t="s">
        <v>1006</v>
      </c>
    </row>
    <row r="28" customFormat="false" ht="15" hidden="false" customHeight="false" outlineLevel="0" collapsed="false">
      <c r="B28" s="124" t="s">
        <v>1007</v>
      </c>
      <c r="C28" s="41" t="s">
        <v>828</v>
      </c>
      <c r="D28" s="142" t="s">
        <v>967</v>
      </c>
      <c r="E28" s="125" t="s">
        <v>1008</v>
      </c>
    </row>
    <row r="30" customFormat="false" ht="26.85" hidden="false" customHeight="true" outlineLevel="0" collapsed="false">
      <c r="B30" s="26" t="s">
        <v>1009</v>
      </c>
      <c r="C30" s="26"/>
      <c r="D30" s="26"/>
      <c r="E30" s="26"/>
    </row>
    <row r="31" customFormat="false" ht="26.85" hidden="false" customHeight="true" outlineLevel="0" collapsed="false">
      <c r="B31" s="137" t="s">
        <v>1010</v>
      </c>
      <c r="C31" s="137"/>
      <c r="D31" s="137"/>
      <c r="E31" s="137"/>
    </row>
  </sheetData>
  <mergeCells count="10">
    <mergeCell ref="A1:E1"/>
    <mergeCell ref="A2:E2"/>
    <mergeCell ref="B4:E4"/>
    <mergeCell ref="D6:F6"/>
    <mergeCell ref="D7:F7"/>
    <mergeCell ref="D8:F8"/>
    <mergeCell ref="D9:F9"/>
    <mergeCell ref="B11:E11"/>
    <mergeCell ref="B30:E30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4"/>
  </cols>
  <sheetData>
    <row r="1" customFormat="false" ht="33.75" hidden="false" customHeight="true" outlineLevel="0" collapsed="false">
      <c r="A1" s="2" t="s">
        <v>1011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122" t="s">
        <v>1012</v>
      </c>
      <c r="B2" s="122"/>
      <c r="C2" s="122"/>
      <c r="D2" s="122"/>
      <c r="E2" s="122"/>
      <c r="F2" s="122"/>
    </row>
    <row r="4" customFormat="false" ht="26.85" hidden="false" customHeight="true" outlineLevel="0" collapsed="false">
      <c r="B4" s="26" t="s">
        <v>1013</v>
      </c>
      <c r="C4" s="26"/>
      <c r="D4" s="26"/>
      <c r="E4" s="26"/>
      <c r="F4" s="26"/>
    </row>
    <row r="6" customFormat="false" ht="21.75" hidden="false" customHeight="true" outlineLevel="0" collapsed="false">
      <c r="B6" s="30" t="s">
        <v>1014</v>
      </c>
      <c r="C6" s="30"/>
      <c r="D6" s="30"/>
      <c r="E6" s="30"/>
      <c r="F6" s="30"/>
    </row>
    <row r="7" customFormat="false" ht="25.5" hidden="false" customHeight="true" outlineLevel="0" collapsed="false">
      <c r="B7" s="123" t="s">
        <v>1015</v>
      </c>
      <c r="C7" s="123" t="s">
        <v>1016</v>
      </c>
      <c r="D7" s="123" t="s">
        <v>1017</v>
      </c>
      <c r="E7" s="123" t="s">
        <v>1018</v>
      </c>
      <c r="F7" s="123" t="s">
        <v>1019</v>
      </c>
    </row>
    <row r="8" customFormat="false" ht="29.85" hidden="false" customHeight="false" outlineLevel="0" collapsed="false">
      <c r="B8" s="57" t="s">
        <v>1020</v>
      </c>
      <c r="C8" s="41" t="s">
        <v>460</v>
      </c>
      <c r="D8" s="125" t="s">
        <v>1021</v>
      </c>
      <c r="E8" s="125" t="s">
        <v>1022</v>
      </c>
      <c r="F8" s="54" t="s">
        <v>335</v>
      </c>
    </row>
    <row r="9" customFormat="false" ht="29.85" hidden="false" customHeight="false" outlineLevel="0" collapsed="false">
      <c r="B9" s="59" t="s">
        <v>1023</v>
      </c>
      <c r="C9" s="38" t="s">
        <v>1024</v>
      </c>
      <c r="D9" s="127" t="s">
        <v>1025</v>
      </c>
      <c r="E9" s="127" t="s">
        <v>1026</v>
      </c>
      <c r="F9" s="51" t="s">
        <v>1027</v>
      </c>
    </row>
    <row r="10" customFormat="false" ht="29.85" hidden="false" customHeight="false" outlineLevel="0" collapsed="false">
      <c r="B10" s="57" t="s">
        <v>1028</v>
      </c>
      <c r="C10" s="41" t="s">
        <v>1029</v>
      </c>
      <c r="D10" s="125" t="s">
        <v>1030</v>
      </c>
      <c r="E10" s="125" t="s">
        <v>1031</v>
      </c>
      <c r="F10" s="54" t="s">
        <v>1032</v>
      </c>
    </row>
    <row r="11" customFormat="false" ht="29.85" hidden="false" customHeight="false" outlineLevel="0" collapsed="false">
      <c r="B11" s="59" t="s">
        <v>1033</v>
      </c>
      <c r="C11" s="38" t="s">
        <v>1034</v>
      </c>
      <c r="D11" s="127" t="s">
        <v>1035</v>
      </c>
      <c r="E11" s="127" t="s">
        <v>1036</v>
      </c>
      <c r="F11" s="51" t="s">
        <v>1037</v>
      </c>
    </row>
    <row r="12" customFormat="false" ht="29.85" hidden="false" customHeight="false" outlineLevel="0" collapsed="false">
      <c r="B12" s="57" t="s">
        <v>1038</v>
      </c>
      <c r="C12" s="41" t="s">
        <v>1039</v>
      </c>
      <c r="D12" s="125" t="s">
        <v>1040</v>
      </c>
      <c r="E12" s="125" t="s">
        <v>1041</v>
      </c>
      <c r="F12" s="54" t="s">
        <v>1042</v>
      </c>
    </row>
    <row r="14" customFormat="false" ht="21.75" hidden="false" customHeight="true" outlineLevel="0" collapsed="false">
      <c r="B14" s="30" t="s">
        <v>1043</v>
      </c>
      <c r="C14" s="30"/>
      <c r="D14" s="30"/>
      <c r="E14" s="30"/>
      <c r="F14" s="30"/>
    </row>
    <row r="15" customFormat="false" ht="25.5" hidden="false" customHeight="true" outlineLevel="0" collapsed="false">
      <c r="B15" s="123" t="s">
        <v>1044</v>
      </c>
      <c r="C15" s="123" t="s">
        <v>1045</v>
      </c>
      <c r="D15" s="123" t="s">
        <v>1046</v>
      </c>
      <c r="E15" s="123" t="s">
        <v>1047</v>
      </c>
      <c r="F15" s="123" t="s">
        <v>12</v>
      </c>
    </row>
    <row r="16" customFormat="false" ht="29.85" hidden="false" customHeight="false" outlineLevel="0" collapsed="false">
      <c r="B16" s="124" t="s">
        <v>1048</v>
      </c>
      <c r="C16" s="125" t="s">
        <v>1049</v>
      </c>
      <c r="D16" s="125" t="s">
        <v>1050</v>
      </c>
      <c r="E16" s="125" t="s">
        <v>1051</v>
      </c>
      <c r="F16" s="125" t="s">
        <v>1052</v>
      </c>
    </row>
    <row r="17" customFormat="false" ht="29.85" hidden="false" customHeight="false" outlineLevel="0" collapsed="false">
      <c r="B17" s="126" t="s">
        <v>1053</v>
      </c>
      <c r="C17" s="127" t="s">
        <v>1054</v>
      </c>
      <c r="D17" s="127" t="s">
        <v>1055</v>
      </c>
      <c r="E17" s="127" t="s">
        <v>1051</v>
      </c>
      <c r="F17" s="127" t="s">
        <v>1056</v>
      </c>
    </row>
    <row r="18" customFormat="false" ht="15" hidden="false" customHeight="false" outlineLevel="0" collapsed="false">
      <c r="B18" s="124" t="s">
        <v>1057</v>
      </c>
      <c r="C18" s="125" t="s">
        <v>1058</v>
      </c>
      <c r="D18" s="125" t="s">
        <v>1059</v>
      </c>
      <c r="E18" s="125" t="s">
        <v>1051</v>
      </c>
      <c r="F18" s="125" t="s">
        <v>1060</v>
      </c>
    </row>
    <row r="20" customFormat="false" ht="26.85" hidden="false" customHeight="true" outlineLevel="0" collapsed="false">
      <c r="B20" s="26" t="s">
        <v>1061</v>
      </c>
      <c r="C20" s="26"/>
      <c r="D20" s="26"/>
      <c r="E20" s="26"/>
      <c r="F20" s="26"/>
    </row>
    <row r="22" customFormat="false" ht="21.75" hidden="false" customHeight="true" outlineLevel="0" collapsed="false">
      <c r="B22" s="30" t="s">
        <v>1062</v>
      </c>
      <c r="C22" s="30"/>
      <c r="D22" s="30"/>
      <c r="E22" s="30"/>
      <c r="F22" s="30"/>
    </row>
    <row r="23" customFormat="false" ht="25.5" hidden="false" customHeight="true" outlineLevel="0" collapsed="false">
      <c r="B23" s="123" t="s">
        <v>279</v>
      </c>
      <c r="C23" s="123" t="s">
        <v>1063</v>
      </c>
      <c r="D23" s="123" t="s">
        <v>1064</v>
      </c>
      <c r="E23" s="123" t="s">
        <v>1018</v>
      </c>
      <c r="F23" s="123" t="s">
        <v>944</v>
      </c>
    </row>
    <row r="24" customFormat="false" ht="15" hidden="false" customHeight="false" outlineLevel="0" collapsed="false">
      <c r="B24" s="150" t="s">
        <v>1065</v>
      </c>
      <c r="C24" s="135" t="s">
        <v>846</v>
      </c>
      <c r="D24" s="20" t="s">
        <v>1066</v>
      </c>
      <c r="E24" s="20" t="s">
        <v>1067</v>
      </c>
      <c r="F24" s="139" t="n">
        <v>1.65</v>
      </c>
    </row>
    <row r="25" customFormat="false" ht="15" hidden="false" customHeight="false" outlineLevel="0" collapsed="false">
      <c r="B25" s="149" t="s">
        <v>1068</v>
      </c>
      <c r="C25" s="134" t="s">
        <v>851</v>
      </c>
      <c r="D25" s="23" t="s">
        <v>1069</v>
      </c>
      <c r="E25" s="23" t="s">
        <v>1070</v>
      </c>
      <c r="F25" s="141" t="n">
        <v>3.55</v>
      </c>
    </row>
    <row r="26" customFormat="false" ht="15" hidden="false" customHeight="false" outlineLevel="0" collapsed="false">
      <c r="B26" s="150" t="s">
        <v>1071</v>
      </c>
      <c r="C26" s="135" t="s">
        <v>881</v>
      </c>
      <c r="D26" s="20" t="s">
        <v>1072</v>
      </c>
      <c r="E26" s="20" t="s">
        <v>1073</v>
      </c>
      <c r="F26" s="139" t="n">
        <v>5.45</v>
      </c>
    </row>
    <row r="27" customFormat="false" ht="15" hidden="false" customHeight="false" outlineLevel="0" collapsed="false">
      <c r="B27" s="149" t="s">
        <v>1074</v>
      </c>
      <c r="C27" s="134" t="s">
        <v>859</v>
      </c>
      <c r="D27" s="23" t="s">
        <v>1075</v>
      </c>
      <c r="E27" s="23" t="s">
        <v>1076</v>
      </c>
      <c r="F27" s="141" t="n">
        <v>2</v>
      </c>
    </row>
    <row r="28" customFormat="false" ht="15" hidden="false" customHeight="false" outlineLevel="0" collapsed="false">
      <c r="B28" s="150" t="s">
        <v>1077</v>
      </c>
      <c r="C28" s="135" t="s">
        <v>646</v>
      </c>
      <c r="D28" s="16" t="s">
        <v>335</v>
      </c>
      <c r="E28" s="20" t="s">
        <v>1078</v>
      </c>
      <c r="F28" s="49" t="s">
        <v>335</v>
      </c>
    </row>
    <row r="29" customFormat="false" ht="15" hidden="false" customHeight="false" outlineLevel="0" collapsed="false">
      <c r="B29" s="149" t="s">
        <v>1079</v>
      </c>
      <c r="C29" s="134" t="s">
        <v>886</v>
      </c>
      <c r="D29" s="23" t="s">
        <v>1080</v>
      </c>
      <c r="E29" s="23" t="s">
        <v>1081</v>
      </c>
      <c r="F29" s="141" t="n">
        <v>6</v>
      </c>
    </row>
    <row r="30" customFormat="false" ht="15" hidden="false" customHeight="false" outlineLevel="0" collapsed="false">
      <c r="B30" s="150" t="s">
        <v>1082</v>
      </c>
      <c r="C30" s="20" t="s">
        <v>1083</v>
      </c>
      <c r="D30" s="20"/>
      <c r="E30" s="20"/>
      <c r="F30" s="20"/>
    </row>
    <row r="32" customFormat="false" ht="26.85" hidden="false" customHeight="true" outlineLevel="0" collapsed="false">
      <c r="B32" s="137" t="s">
        <v>1084</v>
      </c>
      <c r="C32" s="137"/>
      <c r="D32" s="137"/>
      <c r="E32" s="137"/>
      <c r="F32" s="137"/>
    </row>
    <row r="33" customFormat="false" ht="26.85" hidden="false" customHeight="true" outlineLevel="0" collapsed="false">
      <c r="B33" s="26" t="s">
        <v>1085</v>
      </c>
      <c r="C33" s="26"/>
      <c r="D33" s="26"/>
      <c r="E33" s="26"/>
      <c r="F33" s="26"/>
    </row>
    <row r="34" customFormat="false" ht="26.85" hidden="false" customHeight="true" outlineLevel="0" collapsed="false">
      <c r="B34" s="137" t="s">
        <v>1086</v>
      </c>
      <c r="C34" s="137"/>
      <c r="D34" s="137"/>
      <c r="E34" s="137"/>
      <c r="F34" s="137"/>
    </row>
  </sheetData>
  <mergeCells count="11">
    <mergeCell ref="A1:F1"/>
    <mergeCell ref="A2:F2"/>
    <mergeCell ref="B4:F4"/>
    <mergeCell ref="B6:F6"/>
    <mergeCell ref="B14:F14"/>
    <mergeCell ref="B20:F20"/>
    <mergeCell ref="B22:F22"/>
    <mergeCell ref="C30:F30"/>
    <mergeCell ref="B32:F32"/>
    <mergeCell ref="B33:F33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10" min="5" style="0" width="8"/>
    <col collapsed="false" customWidth="true" hidden="false" outlineLevel="0" max="11" min="11" style="0" width="9"/>
  </cols>
  <sheetData>
    <row r="1" customFormat="false" ht="33.75" hidden="false" customHeight="true" outlineLevel="0" collapsed="false">
      <c r="A1" s="2" t="s">
        <v>1087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1088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85" hidden="false" customHeight="true" outlineLevel="0" collapsed="false">
      <c r="B4" s="137" t="s">
        <v>1089</v>
      </c>
      <c r="C4" s="137"/>
      <c r="D4" s="137"/>
      <c r="E4" s="137"/>
      <c r="F4" s="137"/>
      <c r="G4" s="137"/>
      <c r="H4" s="137"/>
      <c r="I4" s="137"/>
      <c r="J4" s="137"/>
      <c r="K4" s="137"/>
    </row>
    <row r="6" customFormat="false" ht="21.75" hidden="false" customHeight="true" outlineLevel="0" collapsed="false">
      <c r="B6" s="30" t="s">
        <v>1090</v>
      </c>
      <c r="C6" s="30"/>
      <c r="D6" s="30"/>
      <c r="E6" s="30"/>
      <c r="F6" s="30"/>
      <c r="G6" s="30"/>
      <c r="H6" s="30"/>
      <c r="I6" s="30"/>
      <c r="J6" s="30"/>
      <c r="K6" s="30"/>
    </row>
    <row r="7" customFormat="false" ht="24" hidden="false" customHeight="true" outlineLevel="0" collapsed="false">
      <c r="B7" s="123" t="s">
        <v>119</v>
      </c>
      <c r="C7" s="123" t="s">
        <v>1091</v>
      </c>
      <c r="D7" s="123" t="s">
        <v>1018</v>
      </c>
      <c r="E7" s="123" t="s">
        <v>1092</v>
      </c>
      <c r="F7" s="123" t="s">
        <v>1093</v>
      </c>
      <c r="G7" s="123" t="s">
        <v>972</v>
      </c>
      <c r="H7" s="123" t="s">
        <v>1094</v>
      </c>
      <c r="I7" s="123" t="s">
        <v>1095</v>
      </c>
      <c r="J7" s="123" t="s">
        <v>1096</v>
      </c>
      <c r="K7" s="123" t="s">
        <v>1097</v>
      </c>
    </row>
    <row r="8" customFormat="false" ht="15" hidden="false" customHeight="false" outlineLevel="0" collapsed="false">
      <c r="B8" s="142" t="s">
        <v>1098</v>
      </c>
      <c r="C8" s="124" t="s">
        <v>1099</v>
      </c>
      <c r="D8" s="163" t="s">
        <v>1100</v>
      </c>
      <c r="E8" s="14" t="n">
        <v>2</v>
      </c>
      <c r="F8" s="14" t="n">
        <v>2</v>
      </c>
      <c r="G8" s="14" t="n">
        <v>5</v>
      </c>
      <c r="H8" s="14" t="n">
        <v>2</v>
      </c>
      <c r="I8" s="14" t="n">
        <v>4</v>
      </c>
      <c r="J8" s="14" t="n">
        <v>4</v>
      </c>
      <c r="K8" s="164" t="n">
        <f aca="false">SUM(E8:J8)</f>
        <v>19</v>
      </c>
    </row>
    <row r="9" customFormat="false" ht="15" hidden="false" customHeight="false" outlineLevel="0" collapsed="false">
      <c r="B9" s="143" t="s">
        <v>1098</v>
      </c>
      <c r="C9" s="126" t="s">
        <v>1101</v>
      </c>
      <c r="D9" s="165" t="s">
        <v>1102</v>
      </c>
      <c r="E9" s="10" t="n">
        <v>3</v>
      </c>
      <c r="F9" s="10" t="n">
        <v>5</v>
      </c>
      <c r="G9" s="10" t="n">
        <v>3</v>
      </c>
      <c r="H9" s="10" t="n">
        <v>2</v>
      </c>
      <c r="I9" s="10" t="n">
        <v>2</v>
      </c>
      <c r="J9" s="10" t="n">
        <v>3</v>
      </c>
      <c r="K9" s="166" t="n">
        <f aca="false">SUM(E9:J9)</f>
        <v>18</v>
      </c>
    </row>
    <row r="10" customFormat="false" ht="15" hidden="false" customHeight="false" outlineLevel="0" collapsed="false">
      <c r="B10" s="142" t="s">
        <v>1098</v>
      </c>
      <c r="C10" s="124" t="s">
        <v>1103</v>
      </c>
      <c r="D10" s="163" t="s">
        <v>1104</v>
      </c>
      <c r="E10" s="14" t="n">
        <v>5</v>
      </c>
      <c r="F10" s="14" t="n">
        <v>3</v>
      </c>
      <c r="G10" s="14" t="n">
        <v>2</v>
      </c>
      <c r="H10" s="14" t="n">
        <v>3</v>
      </c>
      <c r="I10" s="14" t="n">
        <v>3</v>
      </c>
      <c r="J10" s="14" t="n">
        <v>2</v>
      </c>
      <c r="K10" s="164" t="n">
        <f aca="false">SUM(E10:J10)</f>
        <v>18</v>
      </c>
    </row>
    <row r="11" customFormat="false" ht="15" hidden="false" customHeight="false" outlineLevel="0" collapsed="false">
      <c r="B11" s="143" t="s">
        <v>1098</v>
      </c>
      <c r="C11" s="126" t="s">
        <v>1105</v>
      </c>
      <c r="D11" s="165" t="s">
        <v>1106</v>
      </c>
      <c r="E11" s="10" t="n">
        <v>4</v>
      </c>
      <c r="F11" s="10" t="n">
        <v>2</v>
      </c>
      <c r="G11" s="10" t="n">
        <v>2</v>
      </c>
      <c r="H11" s="10" t="n">
        <v>5</v>
      </c>
      <c r="I11" s="10" t="n">
        <v>2</v>
      </c>
      <c r="J11" s="10" t="n">
        <v>3</v>
      </c>
      <c r="K11" s="166" t="n">
        <f aca="false">SUM(E11:J11)</f>
        <v>18</v>
      </c>
    </row>
    <row r="12" customFormat="false" ht="15" hidden="false" customHeight="false" outlineLevel="0" collapsed="false">
      <c r="B12" s="142" t="s">
        <v>1098</v>
      </c>
      <c r="C12" s="124" t="s">
        <v>1107</v>
      </c>
      <c r="D12" s="163" t="s">
        <v>1108</v>
      </c>
      <c r="E12" s="14" t="n">
        <v>3</v>
      </c>
      <c r="F12" s="14" t="n">
        <v>3</v>
      </c>
      <c r="G12" s="14" t="n">
        <v>3</v>
      </c>
      <c r="H12" s="14" t="n">
        <v>3</v>
      </c>
      <c r="I12" s="14" t="n">
        <v>3</v>
      </c>
      <c r="J12" s="14" t="n">
        <v>4</v>
      </c>
      <c r="K12" s="164" t="n">
        <f aca="false">SUM(E12:J12)</f>
        <v>19</v>
      </c>
    </row>
    <row r="13" customFormat="false" ht="15" hidden="false" customHeight="false" outlineLevel="0" collapsed="false">
      <c r="B13" s="167" t="s">
        <v>1109</v>
      </c>
      <c r="C13" s="126" t="s">
        <v>1110</v>
      </c>
      <c r="D13" s="165" t="s">
        <v>1111</v>
      </c>
      <c r="E13" s="10" t="n">
        <v>5</v>
      </c>
      <c r="F13" s="10" t="n">
        <v>2</v>
      </c>
      <c r="G13" s="10" t="n">
        <v>2</v>
      </c>
      <c r="H13" s="10" t="n">
        <v>3</v>
      </c>
      <c r="I13" s="10" t="n">
        <v>4</v>
      </c>
      <c r="J13" s="10" t="n">
        <v>2</v>
      </c>
      <c r="K13" s="166" t="n">
        <f aca="false">SUM(E13:J13)</f>
        <v>18</v>
      </c>
    </row>
    <row r="14" customFormat="false" ht="15" hidden="false" customHeight="false" outlineLevel="0" collapsed="false">
      <c r="B14" s="168" t="s">
        <v>1109</v>
      </c>
      <c r="C14" s="124" t="s">
        <v>1112</v>
      </c>
      <c r="D14" s="163" t="s">
        <v>1113</v>
      </c>
      <c r="E14" s="14" t="n">
        <v>4</v>
      </c>
      <c r="F14" s="14" t="n">
        <v>4</v>
      </c>
      <c r="G14" s="14" t="n">
        <v>3</v>
      </c>
      <c r="H14" s="14" t="n">
        <v>2</v>
      </c>
      <c r="I14" s="14" t="n">
        <v>2</v>
      </c>
      <c r="J14" s="14" t="n">
        <v>3</v>
      </c>
      <c r="K14" s="164" t="n">
        <f aca="false">SUM(E14:J14)</f>
        <v>18</v>
      </c>
    </row>
    <row r="15" customFormat="false" ht="15" hidden="false" customHeight="false" outlineLevel="0" collapsed="false">
      <c r="B15" s="167" t="s">
        <v>1109</v>
      </c>
      <c r="C15" s="126" t="s">
        <v>1114</v>
      </c>
      <c r="D15" s="165" t="s">
        <v>1115</v>
      </c>
      <c r="E15" s="10" t="n">
        <v>3</v>
      </c>
      <c r="F15" s="10" t="n">
        <v>3</v>
      </c>
      <c r="G15" s="10" t="n">
        <v>2</v>
      </c>
      <c r="H15" s="10" t="n">
        <v>3</v>
      </c>
      <c r="I15" s="10" t="n">
        <v>3</v>
      </c>
      <c r="J15" s="10" t="n">
        <v>4</v>
      </c>
      <c r="K15" s="166" t="n">
        <f aca="false">SUM(E15:J15)</f>
        <v>18</v>
      </c>
    </row>
    <row r="16" customFormat="false" ht="15" hidden="false" customHeight="false" outlineLevel="0" collapsed="false">
      <c r="B16" s="168" t="s">
        <v>1109</v>
      </c>
      <c r="C16" s="124" t="s">
        <v>1116</v>
      </c>
      <c r="D16" s="163" t="s">
        <v>1117</v>
      </c>
      <c r="E16" s="14" t="n">
        <v>3</v>
      </c>
      <c r="F16" s="14" t="n">
        <v>4</v>
      </c>
      <c r="G16" s="14" t="n">
        <v>2</v>
      </c>
      <c r="H16" s="14" t="n">
        <v>5</v>
      </c>
      <c r="I16" s="14" t="n">
        <v>2</v>
      </c>
      <c r="J16" s="14" t="n">
        <v>2</v>
      </c>
      <c r="K16" s="164" t="n">
        <f aca="false">SUM(E16:J16)</f>
        <v>18</v>
      </c>
    </row>
    <row r="17" customFormat="false" ht="15" hidden="false" customHeight="false" outlineLevel="0" collapsed="false">
      <c r="B17" s="167" t="s">
        <v>1109</v>
      </c>
      <c r="C17" s="126" t="s">
        <v>1118</v>
      </c>
      <c r="D17" s="165" t="s">
        <v>1119</v>
      </c>
      <c r="E17" s="10" t="n">
        <v>2</v>
      </c>
      <c r="F17" s="10" t="n">
        <v>4</v>
      </c>
      <c r="G17" s="10" t="n">
        <v>3</v>
      </c>
      <c r="H17" s="10" t="n">
        <v>2</v>
      </c>
      <c r="I17" s="10" t="n">
        <v>4</v>
      </c>
      <c r="J17" s="10" t="n">
        <v>4</v>
      </c>
      <c r="K17" s="166" t="n">
        <f aca="false">SUM(E17:J17)</f>
        <v>19</v>
      </c>
    </row>
    <row r="18" customFormat="false" ht="15" hidden="false" customHeight="false" outlineLevel="0" collapsed="false">
      <c r="B18" s="138" t="s">
        <v>131</v>
      </c>
      <c r="C18" s="124" t="s">
        <v>1120</v>
      </c>
      <c r="D18" s="163" t="s">
        <v>1121</v>
      </c>
      <c r="E18" s="14" t="n">
        <v>5</v>
      </c>
      <c r="F18" s="14" t="n">
        <v>5</v>
      </c>
      <c r="G18" s="14" t="n">
        <v>2</v>
      </c>
      <c r="H18" s="14" t="n">
        <v>2</v>
      </c>
      <c r="I18" s="14" t="n">
        <v>1</v>
      </c>
      <c r="J18" s="14" t="n">
        <v>3</v>
      </c>
      <c r="K18" s="164" t="n">
        <f aca="false">SUM(E18:J18)</f>
        <v>18</v>
      </c>
    </row>
    <row r="19" customFormat="false" ht="15" hidden="false" customHeight="false" outlineLevel="0" collapsed="false">
      <c r="B19" s="140" t="s">
        <v>131</v>
      </c>
      <c r="C19" s="126" t="s">
        <v>1122</v>
      </c>
      <c r="D19" s="165" t="s">
        <v>1123</v>
      </c>
      <c r="E19" s="10" t="n">
        <v>3</v>
      </c>
      <c r="F19" s="10" t="n">
        <v>4</v>
      </c>
      <c r="G19" s="10" t="n">
        <v>3</v>
      </c>
      <c r="H19" s="10" t="n">
        <v>2</v>
      </c>
      <c r="I19" s="10" t="n">
        <v>2</v>
      </c>
      <c r="J19" s="10" t="n">
        <v>5</v>
      </c>
      <c r="K19" s="166" t="n">
        <f aca="false">SUM(E19:J19)</f>
        <v>19</v>
      </c>
    </row>
    <row r="20" customFormat="false" ht="15" hidden="false" customHeight="false" outlineLevel="0" collapsed="false">
      <c r="B20" s="138" t="s">
        <v>131</v>
      </c>
      <c r="C20" s="124" t="s">
        <v>1124</v>
      </c>
      <c r="D20" s="163" t="s">
        <v>1125</v>
      </c>
      <c r="E20" s="14" t="n">
        <v>4</v>
      </c>
      <c r="F20" s="14" t="n">
        <v>4</v>
      </c>
      <c r="G20" s="14" t="n">
        <v>2</v>
      </c>
      <c r="H20" s="14" t="n">
        <v>3</v>
      </c>
      <c r="I20" s="14" t="n">
        <v>2</v>
      </c>
      <c r="J20" s="14" t="n">
        <v>3</v>
      </c>
      <c r="K20" s="164" t="n">
        <f aca="false">SUM(E20:J20)</f>
        <v>18</v>
      </c>
    </row>
    <row r="21" customFormat="false" ht="15" hidden="false" customHeight="false" outlineLevel="0" collapsed="false">
      <c r="B21" s="140" t="s">
        <v>131</v>
      </c>
      <c r="C21" s="126" t="s">
        <v>1126</v>
      </c>
      <c r="D21" s="165" t="s">
        <v>1127</v>
      </c>
      <c r="E21" s="10" t="n">
        <v>3</v>
      </c>
      <c r="F21" s="10" t="n">
        <v>3</v>
      </c>
      <c r="G21" s="10" t="n">
        <v>3</v>
      </c>
      <c r="H21" s="10" t="n">
        <v>2</v>
      </c>
      <c r="I21" s="10" t="n">
        <v>4</v>
      </c>
      <c r="J21" s="10" t="n">
        <v>3</v>
      </c>
      <c r="K21" s="166" t="n">
        <f aca="false">SUM(E21:J21)</f>
        <v>18</v>
      </c>
    </row>
    <row r="22" customFormat="false" ht="15" hidden="false" customHeight="false" outlineLevel="0" collapsed="false">
      <c r="B22" s="138" t="s">
        <v>131</v>
      </c>
      <c r="C22" s="124" t="s">
        <v>1128</v>
      </c>
      <c r="D22" s="163" t="s">
        <v>1129</v>
      </c>
      <c r="E22" s="14" t="n">
        <v>2</v>
      </c>
      <c r="F22" s="14" t="n">
        <v>3</v>
      </c>
      <c r="G22" s="14" t="n">
        <v>3</v>
      </c>
      <c r="H22" s="14" t="n">
        <v>5</v>
      </c>
      <c r="I22" s="14" t="n">
        <v>3</v>
      </c>
      <c r="J22" s="14" t="n">
        <v>3</v>
      </c>
      <c r="K22" s="164" t="n">
        <f aca="false">SUM(E22:J22)</f>
        <v>19</v>
      </c>
    </row>
    <row r="23" customFormat="false" ht="15" hidden="false" customHeight="false" outlineLevel="0" collapsed="false">
      <c r="B23" s="140" t="s">
        <v>131</v>
      </c>
      <c r="C23" s="126" t="s">
        <v>1130</v>
      </c>
      <c r="D23" s="165" t="s">
        <v>1131</v>
      </c>
      <c r="E23" s="10" t="n">
        <v>4</v>
      </c>
      <c r="F23" s="10" t="n">
        <v>3</v>
      </c>
      <c r="G23" s="10" t="n">
        <v>4</v>
      </c>
      <c r="H23" s="10" t="n">
        <v>1</v>
      </c>
      <c r="I23" s="10" t="n">
        <v>2</v>
      </c>
      <c r="J23" s="10" t="n">
        <v>5</v>
      </c>
      <c r="K23" s="166" t="n">
        <f aca="false">SUM(E23:J23)</f>
        <v>19</v>
      </c>
    </row>
    <row r="24" customFormat="false" ht="15" hidden="false" customHeight="false" outlineLevel="0" collapsed="false">
      <c r="B24" s="138" t="s">
        <v>131</v>
      </c>
      <c r="C24" s="124" t="s">
        <v>1132</v>
      </c>
      <c r="D24" s="163" t="s">
        <v>1133</v>
      </c>
      <c r="E24" s="14" t="n">
        <v>2</v>
      </c>
      <c r="F24" s="14" t="n">
        <v>2</v>
      </c>
      <c r="G24" s="14" t="n">
        <v>4</v>
      </c>
      <c r="H24" s="14" t="n">
        <v>3</v>
      </c>
      <c r="I24" s="14" t="n">
        <v>5</v>
      </c>
      <c r="J24" s="14" t="n">
        <v>2</v>
      </c>
      <c r="K24" s="164" t="n">
        <f aca="false">SUM(E24:J24)</f>
        <v>18</v>
      </c>
    </row>
    <row r="25" customFormat="false" ht="15" hidden="false" customHeight="false" outlineLevel="0" collapsed="false">
      <c r="B25" s="140" t="s">
        <v>131</v>
      </c>
      <c r="C25" s="126" t="s">
        <v>1134</v>
      </c>
      <c r="D25" s="165" t="s">
        <v>1135</v>
      </c>
      <c r="E25" s="10" t="n">
        <v>2</v>
      </c>
      <c r="F25" s="10" t="n">
        <v>3</v>
      </c>
      <c r="G25" s="10" t="n">
        <v>2</v>
      </c>
      <c r="H25" s="10" t="n">
        <v>2</v>
      </c>
      <c r="I25" s="10" t="n">
        <v>4</v>
      </c>
      <c r="J25" s="10" t="n">
        <v>5</v>
      </c>
      <c r="K25" s="166" t="n">
        <f aca="false">SUM(E25:J25)</f>
        <v>18</v>
      </c>
    </row>
    <row r="26" customFormat="false" ht="15" hidden="false" customHeight="false" outlineLevel="0" collapsed="false">
      <c r="B26" s="169" t="s">
        <v>1136</v>
      </c>
      <c r="C26" s="170" t="s">
        <v>1137</v>
      </c>
      <c r="D26" s="170"/>
      <c r="E26" s="171" t="n">
        <f aca="false">AVERAGE(E8:E25)</f>
        <v>3.27777777777778</v>
      </c>
      <c r="F26" s="171" t="n">
        <f aca="false">AVERAGE(F8:F25)</f>
        <v>3.27777777777778</v>
      </c>
      <c r="G26" s="171" t="n">
        <f aca="false">AVERAGE(G8:G25)</f>
        <v>2.77777777777778</v>
      </c>
      <c r="H26" s="171" t="n">
        <f aca="false">AVERAGE(H8:H25)</f>
        <v>2.77777777777778</v>
      </c>
      <c r="I26" s="171" t="n">
        <f aca="false">AVERAGE(I8:I25)</f>
        <v>2.88888888888889</v>
      </c>
      <c r="J26" s="171" t="n">
        <f aca="false">AVERAGE(J8:J25)</f>
        <v>3.33333333333333</v>
      </c>
      <c r="K26" s="172" t="n">
        <f aca="false">AVERAGE(K8:K25)</f>
        <v>18.3333333333333</v>
      </c>
    </row>
    <row r="28" customFormat="false" ht="26.85" hidden="false" customHeight="true" outlineLevel="0" collapsed="false">
      <c r="B28" s="137" t="s">
        <v>1138</v>
      </c>
      <c r="C28" s="137"/>
      <c r="D28" s="137"/>
      <c r="E28" s="137"/>
      <c r="F28" s="137"/>
      <c r="G28" s="137"/>
      <c r="H28" s="137"/>
      <c r="I28" s="137"/>
      <c r="J28" s="137"/>
      <c r="K28" s="137"/>
    </row>
    <row r="29" customFormat="false" ht="26.85" hidden="false" customHeight="true" outlineLevel="0" collapsed="false">
      <c r="B29" s="137" t="s">
        <v>1139</v>
      </c>
      <c r="C29" s="137"/>
      <c r="D29" s="137"/>
      <c r="E29" s="137"/>
      <c r="F29" s="137"/>
      <c r="G29" s="137"/>
      <c r="H29" s="137"/>
      <c r="I29" s="137"/>
      <c r="J29" s="137"/>
      <c r="K29" s="137"/>
    </row>
    <row r="31" customFormat="false" ht="21.75" hidden="false" customHeight="true" outlineLevel="0" collapsed="false">
      <c r="B31" s="30" t="s">
        <v>1140</v>
      </c>
      <c r="C31" s="30"/>
      <c r="D31" s="30"/>
      <c r="E31" s="30"/>
      <c r="F31" s="30"/>
      <c r="G31" s="30"/>
      <c r="H31" s="30"/>
      <c r="I31" s="30"/>
      <c r="J31" s="30"/>
      <c r="K31" s="30"/>
    </row>
    <row r="32" customFormat="false" ht="24" hidden="false" customHeight="true" outlineLevel="0" collapsed="false">
      <c r="B32" s="123" t="s">
        <v>119</v>
      </c>
      <c r="C32" s="8" t="s">
        <v>1141</v>
      </c>
      <c r="D32" s="123" t="s">
        <v>1142</v>
      </c>
      <c r="E32" s="123" t="s">
        <v>978</v>
      </c>
      <c r="F32" s="123" t="s">
        <v>1143</v>
      </c>
      <c r="G32" s="8"/>
      <c r="H32" s="8"/>
      <c r="I32" s="8"/>
      <c r="J32" s="8"/>
      <c r="K32" s="8"/>
      <c r="L32" s="8"/>
    </row>
    <row r="33" customFormat="false" ht="26.85" hidden="false" customHeight="true" outlineLevel="0" collapsed="false">
      <c r="B33" s="143" t="s">
        <v>1098</v>
      </c>
      <c r="C33" s="165" t="s">
        <v>1144</v>
      </c>
      <c r="D33" s="165"/>
      <c r="E33" s="165" t="s">
        <v>1145</v>
      </c>
      <c r="F33" s="165"/>
      <c r="G33" s="165"/>
      <c r="H33" s="165" t="s">
        <v>1146</v>
      </c>
      <c r="I33" s="165"/>
      <c r="J33" s="165" t="s">
        <v>1147</v>
      </c>
      <c r="K33" s="165"/>
    </row>
    <row r="34" customFormat="false" ht="26.85" hidden="false" customHeight="true" outlineLevel="0" collapsed="false">
      <c r="B34" s="168" t="s">
        <v>1109</v>
      </c>
      <c r="C34" s="163" t="s">
        <v>1148</v>
      </c>
      <c r="D34" s="163"/>
      <c r="E34" s="163" t="s">
        <v>1149</v>
      </c>
      <c r="F34" s="163"/>
      <c r="G34" s="163"/>
      <c r="H34" s="163" t="s">
        <v>1150</v>
      </c>
      <c r="I34" s="163"/>
      <c r="J34" s="163" t="s">
        <v>1151</v>
      </c>
      <c r="K34" s="163"/>
    </row>
    <row r="35" customFormat="false" ht="26.85" hidden="false" customHeight="true" outlineLevel="0" collapsed="false">
      <c r="B35" s="140" t="s">
        <v>131</v>
      </c>
      <c r="C35" s="165" t="s">
        <v>1152</v>
      </c>
      <c r="D35" s="165"/>
      <c r="E35" s="165" t="s">
        <v>1153</v>
      </c>
      <c r="F35" s="165"/>
      <c r="G35" s="165"/>
      <c r="H35" s="165" t="s">
        <v>1154</v>
      </c>
      <c r="I35" s="165"/>
      <c r="J35" s="173" t="s">
        <v>1155</v>
      </c>
      <c r="K35" s="173"/>
    </row>
    <row r="37" customFormat="false" ht="26.85" hidden="false" customHeight="true" outlineLevel="0" collapsed="false">
      <c r="B37" s="26" t="s">
        <v>1156</v>
      </c>
      <c r="C37" s="26"/>
      <c r="D37" s="26"/>
      <c r="E37" s="26"/>
      <c r="F37" s="26"/>
      <c r="G37" s="26"/>
      <c r="H37" s="26"/>
      <c r="I37" s="26"/>
      <c r="J37" s="26"/>
      <c r="K37" s="26"/>
    </row>
  </sheetData>
  <mergeCells count="21">
    <mergeCell ref="A1:K1"/>
    <mergeCell ref="A2:K2"/>
    <mergeCell ref="B4:K4"/>
    <mergeCell ref="B6:K6"/>
    <mergeCell ref="C26:D26"/>
    <mergeCell ref="B28:K28"/>
    <mergeCell ref="B29:K29"/>
    <mergeCell ref="B31:K31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46"/>
  </cols>
  <sheetData>
    <row r="1" customFormat="false" ht="33.75" hidden="false" customHeight="true" outlineLevel="0" collapsed="false">
      <c r="A1" s="2" t="s">
        <v>1157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122" t="s">
        <v>1158</v>
      </c>
      <c r="B2" s="122"/>
      <c r="C2" s="122"/>
      <c r="D2" s="122"/>
      <c r="E2" s="122"/>
      <c r="F2" s="122"/>
      <c r="G2" s="122"/>
    </row>
    <row r="4" customFormat="false" ht="21.75" hidden="false" customHeight="true" outlineLevel="0" collapsed="false">
      <c r="B4" s="174" t="s">
        <v>1159</v>
      </c>
      <c r="C4" s="174"/>
      <c r="D4" s="174"/>
      <c r="E4" s="174"/>
      <c r="F4" s="174"/>
      <c r="G4" s="174"/>
    </row>
    <row r="5" customFormat="false" ht="15" hidden="false" customHeight="true" outlineLevel="0" collapsed="false">
      <c r="B5" s="175" t="s">
        <v>1160</v>
      </c>
      <c r="C5" s="176" t="s">
        <v>1161</v>
      </c>
      <c r="D5" s="176"/>
      <c r="E5" s="176"/>
      <c r="F5" s="176"/>
      <c r="G5" s="176"/>
    </row>
    <row r="6" customFormat="false" ht="15" hidden="false" customHeight="true" outlineLevel="0" collapsed="false">
      <c r="B6" s="177" t="s">
        <v>1162</v>
      </c>
      <c r="C6" s="178" t="s">
        <v>1163</v>
      </c>
      <c r="D6" s="178"/>
      <c r="E6" s="178"/>
      <c r="F6" s="178"/>
      <c r="G6" s="178"/>
    </row>
    <row r="7" customFormat="false" ht="24" hidden="false" customHeight="true" outlineLevel="0" collapsed="false">
      <c r="B7" s="8" t="s">
        <v>151</v>
      </c>
      <c r="C7" s="123" t="s">
        <v>835</v>
      </c>
      <c r="D7" s="123" t="s">
        <v>18</v>
      </c>
      <c r="E7" s="123" t="s">
        <v>1164</v>
      </c>
      <c r="F7" s="123" t="s">
        <v>944</v>
      </c>
      <c r="G7" s="123" t="s">
        <v>1165</v>
      </c>
    </row>
    <row r="8" customFormat="false" ht="15" hidden="false" customHeight="false" outlineLevel="0" collapsed="false">
      <c r="B8" s="42" t="n">
        <v>1</v>
      </c>
      <c r="C8" s="124" t="s">
        <v>1166</v>
      </c>
      <c r="D8" s="179" t="s">
        <v>929</v>
      </c>
      <c r="E8" s="180" t="s">
        <v>335</v>
      </c>
      <c r="F8" s="139" t="n">
        <v>1</v>
      </c>
      <c r="G8" s="163" t="s">
        <v>1167</v>
      </c>
    </row>
    <row r="9" customFormat="false" ht="15" hidden="false" customHeight="false" outlineLevel="0" collapsed="false">
      <c r="B9" s="44" t="n">
        <v>4</v>
      </c>
      <c r="C9" s="126" t="s">
        <v>1168</v>
      </c>
      <c r="D9" s="145" t="s">
        <v>1096</v>
      </c>
      <c r="E9" s="181" t="s">
        <v>1169</v>
      </c>
      <c r="F9" s="141" t="n">
        <v>1.4</v>
      </c>
      <c r="G9" s="165" t="s">
        <v>1170</v>
      </c>
    </row>
    <row r="10" customFormat="false" ht="15" hidden="false" customHeight="false" outlineLevel="0" collapsed="false">
      <c r="B10" s="42" t="n">
        <v>10</v>
      </c>
      <c r="C10" s="124" t="s">
        <v>1171</v>
      </c>
      <c r="D10" s="144" t="s">
        <v>1096</v>
      </c>
      <c r="E10" s="182" t="s">
        <v>1172</v>
      </c>
      <c r="F10" s="49" t="s">
        <v>335</v>
      </c>
      <c r="G10" s="163" t="s">
        <v>1173</v>
      </c>
    </row>
    <row r="11" customFormat="false" ht="15" hidden="false" customHeight="false" outlineLevel="0" collapsed="false">
      <c r="B11" s="44" t="n">
        <v>16</v>
      </c>
      <c r="C11" s="126" t="s">
        <v>1174</v>
      </c>
      <c r="D11" s="149" t="s">
        <v>771</v>
      </c>
      <c r="E11" s="181" t="s">
        <v>1175</v>
      </c>
      <c r="F11" s="50" t="s">
        <v>335</v>
      </c>
      <c r="G11" s="173" t="s">
        <v>1176</v>
      </c>
    </row>
    <row r="12" customFormat="false" ht="15" hidden="false" customHeight="false" outlineLevel="0" collapsed="false">
      <c r="B12" s="42" t="n">
        <v>22</v>
      </c>
      <c r="C12" s="124" t="s">
        <v>1177</v>
      </c>
      <c r="D12" s="150" t="s">
        <v>771</v>
      </c>
      <c r="E12" s="182" t="s">
        <v>1178</v>
      </c>
      <c r="F12" s="49" t="s">
        <v>335</v>
      </c>
      <c r="G12" s="163" t="s">
        <v>1179</v>
      </c>
    </row>
    <row r="13" customFormat="false" ht="15" hidden="false" customHeight="false" outlineLevel="0" collapsed="false">
      <c r="B13" s="62" t="n">
        <v>33</v>
      </c>
      <c r="C13" s="183" t="s">
        <v>1180</v>
      </c>
      <c r="D13" s="143" t="s">
        <v>1181</v>
      </c>
      <c r="E13" s="181" t="s">
        <v>1182</v>
      </c>
      <c r="F13" s="141" t="n">
        <v>2</v>
      </c>
      <c r="G13" s="165" t="s">
        <v>1183</v>
      </c>
    </row>
    <row r="14" customFormat="false" ht="15" hidden="false" customHeight="false" outlineLevel="0" collapsed="false">
      <c r="B14" s="142" t="n">
        <v>40</v>
      </c>
      <c r="C14" s="129" t="s">
        <v>1184</v>
      </c>
      <c r="D14" s="138" t="s">
        <v>1185</v>
      </c>
      <c r="E14" s="182" t="s">
        <v>1186</v>
      </c>
      <c r="F14" s="139" t="n">
        <v>2.5</v>
      </c>
      <c r="G14" s="163" t="s">
        <v>1187</v>
      </c>
    </row>
    <row r="15" customFormat="false" ht="15" hidden="false" customHeight="false" outlineLevel="0" collapsed="false">
      <c r="B15" s="44" t="n">
        <v>50</v>
      </c>
      <c r="C15" s="126" t="s">
        <v>1188</v>
      </c>
      <c r="D15" s="167" t="s">
        <v>1082</v>
      </c>
      <c r="E15" s="184" t="s">
        <v>335</v>
      </c>
      <c r="F15" s="50" t="s">
        <v>335</v>
      </c>
      <c r="G15" s="165" t="s">
        <v>1189</v>
      </c>
    </row>
    <row r="16" customFormat="false" ht="15" hidden="false" customHeight="false" outlineLevel="0" collapsed="false">
      <c r="B16" s="42" t="n">
        <v>60</v>
      </c>
      <c r="C16" s="124" t="s">
        <v>1190</v>
      </c>
      <c r="D16" s="150" t="s">
        <v>771</v>
      </c>
      <c r="E16" s="182" t="s">
        <v>1191</v>
      </c>
      <c r="F16" s="49" t="s">
        <v>335</v>
      </c>
      <c r="G16" s="185" t="s">
        <v>1192</v>
      </c>
    </row>
    <row r="17" customFormat="false" ht="15" hidden="false" customHeight="false" outlineLevel="0" collapsed="false">
      <c r="B17" s="44" t="n">
        <v>70</v>
      </c>
      <c r="C17" s="126" t="s">
        <v>1193</v>
      </c>
      <c r="D17" s="147" t="s">
        <v>1194</v>
      </c>
      <c r="E17" s="181" t="s">
        <v>1195</v>
      </c>
      <c r="F17" s="141" t="n">
        <v>3</v>
      </c>
      <c r="G17" s="165" t="s">
        <v>1196</v>
      </c>
    </row>
    <row r="18" customFormat="false" ht="15" hidden="false" customHeight="false" outlineLevel="0" collapsed="false">
      <c r="B18" s="42" t="n">
        <v>85</v>
      </c>
      <c r="C18" s="124" t="s">
        <v>1197</v>
      </c>
      <c r="D18" s="168" t="s">
        <v>1082</v>
      </c>
      <c r="E18" s="180" t="s">
        <v>335</v>
      </c>
      <c r="F18" s="49" t="s">
        <v>335</v>
      </c>
      <c r="G18" s="163" t="s">
        <v>1198</v>
      </c>
    </row>
    <row r="19" customFormat="false" ht="15" hidden="false" customHeight="false" outlineLevel="0" collapsed="false">
      <c r="B19" s="44" t="n">
        <v>100</v>
      </c>
      <c r="C19" s="126" t="s">
        <v>1199</v>
      </c>
      <c r="D19" s="151" t="s">
        <v>780</v>
      </c>
      <c r="E19" s="181" t="s">
        <v>1200</v>
      </c>
      <c r="F19" s="141" t="n">
        <v>2.5</v>
      </c>
      <c r="G19" s="173" t="s">
        <v>1201</v>
      </c>
    </row>
    <row r="21" customFormat="false" ht="21.75" hidden="false" customHeight="true" outlineLevel="0" collapsed="false">
      <c r="B21" s="174" t="s">
        <v>1202</v>
      </c>
      <c r="C21" s="174"/>
      <c r="D21" s="174"/>
      <c r="E21" s="174"/>
      <c r="F21" s="174"/>
      <c r="G21" s="174"/>
    </row>
    <row r="22" customFormat="false" ht="15" hidden="false" customHeight="true" outlineLevel="0" collapsed="false">
      <c r="B22" s="175" t="s">
        <v>1160</v>
      </c>
      <c r="C22" s="176" t="s">
        <v>1203</v>
      </c>
      <c r="D22" s="176"/>
      <c r="E22" s="176"/>
      <c r="F22" s="176"/>
      <c r="G22" s="176"/>
    </row>
    <row r="23" customFormat="false" ht="15" hidden="false" customHeight="true" outlineLevel="0" collapsed="false">
      <c r="B23" s="177" t="s">
        <v>1162</v>
      </c>
      <c r="C23" s="178" t="s">
        <v>1204</v>
      </c>
      <c r="D23" s="178"/>
      <c r="E23" s="178"/>
      <c r="F23" s="178"/>
      <c r="G23" s="178"/>
    </row>
    <row r="24" customFormat="false" ht="24" hidden="false" customHeight="true" outlineLevel="0" collapsed="false">
      <c r="B24" s="8" t="s">
        <v>151</v>
      </c>
      <c r="C24" s="123" t="s">
        <v>835</v>
      </c>
      <c r="D24" s="123" t="s">
        <v>18</v>
      </c>
      <c r="E24" s="123" t="s">
        <v>1164</v>
      </c>
      <c r="F24" s="123" t="s">
        <v>944</v>
      </c>
      <c r="G24" s="123" t="s">
        <v>1165</v>
      </c>
    </row>
    <row r="25" customFormat="false" ht="15" hidden="false" customHeight="false" outlineLevel="0" collapsed="false">
      <c r="B25" s="44" t="n">
        <v>1</v>
      </c>
      <c r="C25" s="126" t="s">
        <v>1205</v>
      </c>
      <c r="D25" s="186" t="s">
        <v>929</v>
      </c>
      <c r="E25" s="184" t="s">
        <v>335</v>
      </c>
      <c r="F25" s="141" t="n">
        <v>1.3</v>
      </c>
      <c r="G25" s="165" t="s">
        <v>1206</v>
      </c>
    </row>
    <row r="26" customFormat="false" ht="15" hidden="false" customHeight="false" outlineLevel="0" collapsed="false">
      <c r="B26" s="42" t="n">
        <v>6</v>
      </c>
      <c r="C26" s="124" t="s">
        <v>1207</v>
      </c>
      <c r="D26" s="148" t="s">
        <v>1194</v>
      </c>
      <c r="E26" s="182" t="s">
        <v>1182</v>
      </c>
      <c r="F26" s="139" t="n">
        <v>1.8</v>
      </c>
      <c r="G26" s="163" t="s">
        <v>1208</v>
      </c>
    </row>
    <row r="27" customFormat="false" ht="15" hidden="false" customHeight="false" outlineLevel="0" collapsed="false">
      <c r="B27" s="44" t="n">
        <v>12</v>
      </c>
      <c r="C27" s="126" t="s">
        <v>1209</v>
      </c>
      <c r="D27" s="187" t="s">
        <v>767</v>
      </c>
      <c r="E27" s="181" t="s">
        <v>1169</v>
      </c>
      <c r="F27" s="141" t="n">
        <v>1.6</v>
      </c>
      <c r="G27" s="165" t="s">
        <v>1210</v>
      </c>
    </row>
    <row r="28" customFormat="false" ht="15" hidden="false" customHeight="false" outlineLevel="0" collapsed="false">
      <c r="B28" s="42" t="n">
        <v>20</v>
      </c>
      <c r="C28" s="124" t="s">
        <v>1211</v>
      </c>
      <c r="D28" s="138" t="s">
        <v>1185</v>
      </c>
      <c r="E28" s="182" t="s">
        <v>1212</v>
      </c>
      <c r="F28" s="139" t="n">
        <v>2.4</v>
      </c>
      <c r="G28" s="163" t="s">
        <v>1213</v>
      </c>
    </row>
    <row r="29" customFormat="false" ht="15" hidden="false" customHeight="false" outlineLevel="0" collapsed="false">
      <c r="B29" s="62" t="n">
        <v>33</v>
      </c>
      <c r="C29" s="183" t="s">
        <v>1214</v>
      </c>
      <c r="D29" s="143" t="s">
        <v>1181</v>
      </c>
      <c r="E29" s="181" t="s">
        <v>1212</v>
      </c>
      <c r="F29" s="141" t="n">
        <v>2.2</v>
      </c>
      <c r="G29" s="165" t="s">
        <v>1215</v>
      </c>
    </row>
    <row r="30" customFormat="false" ht="15" hidden="false" customHeight="false" outlineLevel="0" collapsed="false">
      <c r="B30" s="142" t="n">
        <v>38</v>
      </c>
      <c r="C30" s="129" t="s">
        <v>1216</v>
      </c>
      <c r="D30" s="148" t="s">
        <v>1194</v>
      </c>
      <c r="E30" s="182" t="s">
        <v>1186</v>
      </c>
      <c r="F30" s="139" t="n">
        <v>2.8</v>
      </c>
      <c r="G30" s="163" t="s">
        <v>1217</v>
      </c>
    </row>
    <row r="31" customFormat="false" ht="15" hidden="false" customHeight="false" outlineLevel="0" collapsed="false">
      <c r="B31" s="44" t="n">
        <v>48</v>
      </c>
      <c r="C31" s="126" t="s">
        <v>1218</v>
      </c>
      <c r="D31" s="167" t="s">
        <v>1082</v>
      </c>
      <c r="E31" s="184" t="s">
        <v>335</v>
      </c>
      <c r="F31" s="50" t="s">
        <v>335</v>
      </c>
      <c r="G31" s="165" t="s">
        <v>1219</v>
      </c>
    </row>
    <row r="32" customFormat="false" ht="15" hidden="false" customHeight="false" outlineLevel="0" collapsed="false">
      <c r="B32" s="42" t="n">
        <v>58</v>
      </c>
      <c r="C32" s="124" t="s">
        <v>1220</v>
      </c>
      <c r="D32" s="138" t="s">
        <v>1185</v>
      </c>
      <c r="E32" s="182" t="s">
        <v>1186</v>
      </c>
      <c r="F32" s="139" t="n">
        <v>0.7</v>
      </c>
      <c r="G32" s="185" t="s">
        <v>1221</v>
      </c>
    </row>
    <row r="33" customFormat="false" ht="15" hidden="false" customHeight="false" outlineLevel="0" collapsed="false">
      <c r="B33" s="44" t="n">
        <v>70</v>
      </c>
      <c r="C33" s="126" t="s">
        <v>1222</v>
      </c>
      <c r="D33" s="140" t="s">
        <v>1185</v>
      </c>
      <c r="E33" s="181" t="s">
        <v>1223</v>
      </c>
      <c r="F33" s="141" t="n">
        <v>4</v>
      </c>
      <c r="G33" s="165" t="s">
        <v>1224</v>
      </c>
    </row>
    <row r="34" customFormat="false" ht="15" hidden="false" customHeight="false" outlineLevel="0" collapsed="false">
      <c r="B34" s="42" t="n">
        <v>82</v>
      </c>
      <c r="C34" s="124" t="s">
        <v>1225</v>
      </c>
      <c r="D34" s="168" t="s">
        <v>1082</v>
      </c>
      <c r="E34" s="180" t="s">
        <v>335</v>
      </c>
      <c r="F34" s="49" t="s">
        <v>335</v>
      </c>
      <c r="G34" s="163" t="s">
        <v>1226</v>
      </c>
    </row>
    <row r="35" customFormat="false" ht="15" hidden="false" customHeight="false" outlineLevel="0" collapsed="false">
      <c r="B35" s="44" t="n">
        <v>100</v>
      </c>
      <c r="C35" s="126" t="s">
        <v>1227</v>
      </c>
      <c r="D35" s="151" t="s">
        <v>780</v>
      </c>
      <c r="E35" s="181" t="s">
        <v>1228</v>
      </c>
      <c r="F35" s="141" t="n">
        <v>5.5</v>
      </c>
      <c r="G35" s="165" t="s">
        <v>1229</v>
      </c>
    </row>
    <row r="37" customFormat="false" ht="21.75" hidden="false" customHeight="true" outlineLevel="0" collapsed="false">
      <c r="B37" s="174" t="s">
        <v>1230</v>
      </c>
      <c r="C37" s="174"/>
      <c r="D37" s="174"/>
      <c r="E37" s="174"/>
      <c r="F37" s="174"/>
      <c r="G37" s="174"/>
    </row>
    <row r="38" customFormat="false" ht="15" hidden="false" customHeight="true" outlineLevel="0" collapsed="false">
      <c r="B38" s="175" t="s">
        <v>1160</v>
      </c>
      <c r="C38" s="176" t="s">
        <v>1231</v>
      </c>
      <c r="D38" s="176"/>
      <c r="E38" s="176"/>
      <c r="F38" s="176"/>
      <c r="G38" s="176"/>
    </row>
    <row r="39" customFormat="false" ht="15" hidden="false" customHeight="true" outlineLevel="0" collapsed="false">
      <c r="B39" s="177" t="s">
        <v>1162</v>
      </c>
      <c r="C39" s="178" t="s">
        <v>1232</v>
      </c>
      <c r="D39" s="178"/>
      <c r="E39" s="178"/>
      <c r="F39" s="178"/>
      <c r="G39" s="178"/>
    </row>
    <row r="40" customFormat="false" ht="24" hidden="false" customHeight="true" outlineLevel="0" collapsed="false">
      <c r="B40" s="8" t="s">
        <v>151</v>
      </c>
      <c r="C40" s="123" t="s">
        <v>835</v>
      </c>
      <c r="D40" s="123" t="s">
        <v>18</v>
      </c>
      <c r="E40" s="123" t="s">
        <v>1164</v>
      </c>
      <c r="F40" s="123" t="s">
        <v>944</v>
      </c>
      <c r="G40" s="123" t="s">
        <v>1165</v>
      </c>
    </row>
    <row r="41" customFormat="false" ht="15" hidden="false" customHeight="false" outlineLevel="0" collapsed="false">
      <c r="B41" s="44" t="n">
        <v>1</v>
      </c>
      <c r="C41" s="126" t="s">
        <v>1233</v>
      </c>
      <c r="D41" s="186" t="s">
        <v>929</v>
      </c>
      <c r="E41" s="184" t="s">
        <v>335</v>
      </c>
      <c r="F41" s="141" t="n">
        <v>1.2</v>
      </c>
      <c r="G41" s="165" t="s">
        <v>1234</v>
      </c>
    </row>
    <row r="42" customFormat="false" ht="15" hidden="false" customHeight="false" outlineLevel="0" collapsed="false">
      <c r="B42" s="42" t="n">
        <v>5</v>
      </c>
      <c r="C42" s="124" t="s">
        <v>1235</v>
      </c>
      <c r="D42" s="138" t="s">
        <v>1185</v>
      </c>
      <c r="E42" s="182" t="s">
        <v>1169</v>
      </c>
      <c r="F42" s="139" t="n">
        <v>1.5</v>
      </c>
      <c r="G42" s="163" t="s">
        <v>1236</v>
      </c>
    </row>
    <row r="43" customFormat="false" ht="15" hidden="false" customHeight="false" outlineLevel="0" collapsed="false">
      <c r="B43" s="44" t="n">
        <v>11</v>
      </c>
      <c r="C43" s="126" t="s">
        <v>1237</v>
      </c>
      <c r="D43" s="149" t="s">
        <v>771</v>
      </c>
      <c r="E43" s="181" t="s">
        <v>1186</v>
      </c>
      <c r="F43" s="50" t="s">
        <v>335</v>
      </c>
      <c r="G43" s="173" t="s">
        <v>1238</v>
      </c>
    </row>
    <row r="44" customFormat="false" ht="15" hidden="false" customHeight="false" outlineLevel="0" collapsed="false">
      <c r="B44" s="42" t="n">
        <v>18</v>
      </c>
      <c r="C44" s="124" t="s">
        <v>1239</v>
      </c>
      <c r="D44" s="138" t="s">
        <v>1185</v>
      </c>
      <c r="E44" s="182" t="s">
        <v>1212</v>
      </c>
      <c r="F44" s="139" t="n">
        <v>3</v>
      </c>
      <c r="G44" s="163" t="s">
        <v>1240</v>
      </c>
    </row>
    <row r="45" customFormat="false" ht="15" hidden="false" customHeight="false" outlineLevel="0" collapsed="false">
      <c r="B45" s="44" t="n">
        <v>26</v>
      </c>
      <c r="C45" s="126" t="s">
        <v>1241</v>
      </c>
      <c r="D45" s="149" t="s">
        <v>771</v>
      </c>
      <c r="E45" s="181" t="s">
        <v>1242</v>
      </c>
      <c r="F45" s="50" t="s">
        <v>335</v>
      </c>
      <c r="G45" s="173" t="s">
        <v>1243</v>
      </c>
    </row>
    <row r="46" customFormat="false" ht="15" hidden="false" customHeight="false" outlineLevel="0" collapsed="false">
      <c r="B46" s="142" t="n">
        <v>33</v>
      </c>
      <c r="C46" s="129" t="s">
        <v>1244</v>
      </c>
      <c r="D46" s="142" t="s">
        <v>1181</v>
      </c>
      <c r="E46" s="182" t="s">
        <v>1182</v>
      </c>
      <c r="F46" s="139" t="n">
        <v>2</v>
      </c>
      <c r="G46" s="163" t="s">
        <v>1245</v>
      </c>
    </row>
    <row r="47" customFormat="false" ht="15" hidden="false" customHeight="false" outlineLevel="0" collapsed="false">
      <c r="B47" s="44" t="n">
        <v>42</v>
      </c>
      <c r="C47" s="126" t="s">
        <v>1246</v>
      </c>
      <c r="D47" s="147" t="s">
        <v>1194</v>
      </c>
      <c r="E47" s="181" t="s">
        <v>1212</v>
      </c>
      <c r="F47" s="141" t="n">
        <v>1.8</v>
      </c>
      <c r="G47" s="165" t="s">
        <v>1247</v>
      </c>
    </row>
    <row r="48" customFormat="false" ht="15" hidden="false" customHeight="false" outlineLevel="0" collapsed="false">
      <c r="B48" s="42" t="n">
        <v>52</v>
      </c>
      <c r="C48" s="124" t="s">
        <v>1248</v>
      </c>
      <c r="D48" s="168" t="s">
        <v>1082</v>
      </c>
      <c r="E48" s="180" t="s">
        <v>335</v>
      </c>
      <c r="F48" s="49" t="s">
        <v>335</v>
      </c>
      <c r="G48" s="163" t="s">
        <v>1249</v>
      </c>
    </row>
    <row r="49" customFormat="false" ht="15" hidden="false" customHeight="false" outlineLevel="0" collapsed="false">
      <c r="B49" s="44" t="n">
        <v>62</v>
      </c>
      <c r="C49" s="126" t="s">
        <v>1250</v>
      </c>
      <c r="D49" s="140" t="s">
        <v>1185</v>
      </c>
      <c r="E49" s="181" t="s">
        <v>1251</v>
      </c>
      <c r="F49" s="141" t="n">
        <v>3.5</v>
      </c>
      <c r="G49" s="165" t="s">
        <v>1252</v>
      </c>
    </row>
    <row r="50" customFormat="false" ht="15" hidden="false" customHeight="false" outlineLevel="0" collapsed="false">
      <c r="B50" s="42" t="n">
        <v>75</v>
      </c>
      <c r="C50" s="124" t="s">
        <v>1253</v>
      </c>
      <c r="D50" s="138" t="s">
        <v>1185</v>
      </c>
      <c r="E50" s="182" t="s">
        <v>1186</v>
      </c>
      <c r="F50" s="139" t="n">
        <v>2.8</v>
      </c>
      <c r="G50" s="163" t="s">
        <v>1254</v>
      </c>
    </row>
    <row r="51" customFormat="false" ht="15" hidden="false" customHeight="false" outlineLevel="0" collapsed="false">
      <c r="B51" s="44" t="n">
        <v>88</v>
      </c>
      <c r="C51" s="126" t="s">
        <v>1255</v>
      </c>
      <c r="D51" s="167" t="s">
        <v>1082</v>
      </c>
      <c r="E51" s="184" t="s">
        <v>335</v>
      </c>
      <c r="F51" s="50" t="s">
        <v>335</v>
      </c>
      <c r="G51" s="165" t="s">
        <v>1256</v>
      </c>
    </row>
    <row r="52" customFormat="false" ht="15" hidden="false" customHeight="false" outlineLevel="0" collapsed="false">
      <c r="B52" s="42" t="n">
        <v>100</v>
      </c>
      <c r="C52" s="124" t="s">
        <v>1257</v>
      </c>
      <c r="D52" s="152" t="s">
        <v>780</v>
      </c>
      <c r="E52" s="182" t="s">
        <v>1228</v>
      </c>
      <c r="F52" s="49" t="s">
        <v>335</v>
      </c>
      <c r="G52" s="185" t="s">
        <v>1258</v>
      </c>
    </row>
    <row r="54" customFormat="false" ht="21.75" hidden="false" customHeight="true" outlineLevel="0" collapsed="false">
      <c r="B54" s="174" t="s">
        <v>1259</v>
      </c>
      <c r="C54" s="174"/>
      <c r="D54" s="174"/>
      <c r="E54" s="174"/>
      <c r="F54" s="174"/>
      <c r="G54" s="174"/>
    </row>
    <row r="55" customFormat="false" ht="15" hidden="false" customHeight="true" outlineLevel="0" collapsed="false">
      <c r="B55" s="175" t="s">
        <v>1160</v>
      </c>
      <c r="C55" s="176" t="s">
        <v>1260</v>
      </c>
      <c r="D55" s="176"/>
      <c r="E55" s="176"/>
      <c r="F55" s="176"/>
      <c r="G55" s="176"/>
    </row>
    <row r="56" customFormat="false" ht="15" hidden="false" customHeight="true" outlineLevel="0" collapsed="false">
      <c r="B56" s="177" t="s">
        <v>1162</v>
      </c>
      <c r="C56" s="178" t="s">
        <v>1261</v>
      </c>
      <c r="D56" s="178"/>
      <c r="E56" s="178"/>
      <c r="F56" s="178"/>
      <c r="G56" s="178"/>
    </row>
    <row r="57" customFormat="false" ht="24" hidden="false" customHeight="true" outlineLevel="0" collapsed="false">
      <c r="B57" s="8" t="s">
        <v>151</v>
      </c>
      <c r="C57" s="123" t="s">
        <v>835</v>
      </c>
      <c r="D57" s="123" t="s">
        <v>18</v>
      </c>
      <c r="E57" s="123" t="s">
        <v>1164</v>
      </c>
      <c r="F57" s="123" t="s">
        <v>944</v>
      </c>
      <c r="G57" s="123" t="s">
        <v>1165</v>
      </c>
    </row>
    <row r="58" customFormat="false" ht="15" hidden="false" customHeight="false" outlineLevel="0" collapsed="false">
      <c r="B58" s="42" t="n">
        <v>1</v>
      </c>
      <c r="C58" s="124" t="s">
        <v>1262</v>
      </c>
      <c r="D58" s="179" t="s">
        <v>929</v>
      </c>
      <c r="E58" s="180" t="s">
        <v>335</v>
      </c>
      <c r="F58" s="139" t="n">
        <v>0.9</v>
      </c>
      <c r="G58" s="163" t="s">
        <v>1263</v>
      </c>
    </row>
    <row r="59" customFormat="false" ht="15" hidden="false" customHeight="false" outlineLevel="0" collapsed="false">
      <c r="B59" s="44" t="n">
        <v>4</v>
      </c>
      <c r="C59" s="126" t="s">
        <v>1264</v>
      </c>
      <c r="D59" s="140" t="s">
        <v>1185</v>
      </c>
      <c r="E59" s="181" t="s">
        <v>1265</v>
      </c>
      <c r="F59" s="141" t="n">
        <v>1.3</v>
      </c>
      <c r="G59" s="165" t="s">
        <v>1266</v>
      </c>
    </row>
    <row r="60" customFormat="false" ht="15" hidden="false" customHeight="false" outlineLevel="0" collapsed="false">
      <c r="B60" s="42" t="n">
        <v>9</v>
      </c>
      <c r="C60" s="124" t="s">
        <v>1267</v>
      </c>
      <c r="D60" s="146" t="s">
        <v>767</v>
      </c>
      <c r="E60" s="182" t="s">
        <v>1268</v>
      </c>
      <c r="F60" s="49" t="s">
        <v>335</v>
      </c>
      <c r="G60" s="163" t="s">
        <v>1269</v>
      </c>
    </row>
    <row r="61" customFormat="false" ht="15" hidden="false" customHeight="false" outlineLevel="0" collapsed="false">
      <c r="B61" s="44" t="n">
        <v>15</v>
      </c>
      <c r="C61" s="126" t="s">
        <v>1270</v>
      </c>
      <c r="D61" s="149" t="s">
        <v>771</v>
      </c>
      <c r="E61" s="181" t="s">
        <v>1175</v>
      </c>
      <c r="F61" s="50" t="s">
        <v>335</v>
      </c>
      <c r="G61" s="173" t="s">
        <v>1271</v>
      </c>
    </row>
    <row r="62" customFormat="false" ht="15" hidden="false" customHeight="false" outlineLevel="0" collapsed="false">
      <c r="B62" s="42" t="n">
        <v>22</v>
      </c>
      <c r="C62" s="124" t="s">
        <v>1272</v>
      </c>
      <c r="D62" s="138" t="s">
        <v>1185</v>
      </c>
      <c r="E62" s="182" t="s">
        <v>1182</v>
      </c>
      <c r="F62" s="139" t="n">
        <v>2</v>
      </c>
      <c r="G62" s="163" t="s">
        <v>1273</v>
      </c>
    </row>
    <row r="63" customFormat="false" ht="15" hidden="false" customHeight="false" outlineLevel="0" collapsed="false">
      <c r="B63" s="62" t="n">
        <v>30</v>
      </c>
      <c r="C63" s="183" t="s">
        <v>1274</v>
      </c>
      <c r="D63" s="143" t="s">
        <v>1181</v>
      </c>
      <c r="E63" s="181" t="s">
        <v>1169</v>
      </c>
      <c r="F63" s="141" t="n">
        <v>1</v>
      </c>
      <c r="G63" s="165" t="s">
        <v>1275</v>
      </c>
    </row>
    <row r="64" customFormat="false" ht="15" hidden="false" customHeight="false" outlineLevel="0" collapsed="false">
      <c r="B64" s="142" t="n">
        <v>40</v>
      </c>
      <c r="C64" s="129" t="s">
        <v>1276</v>
      </c>
      <c r="D64" s="138" t="s">
        <v>1185</v>
      </c>
      <c r="E64" s="182" t="s">
        <v>1212</v>
      </c>
      <c r="F64" s="139" t="n">
        <v>0.6</v>
      </c>
      <c r="G64" s="185" t="s">
        <v>1277</v>
      </c>
    </row>
    <row r="65" customFormat="false" ht="15" hidden="false" customHeight="false" outlineLevel="0" collapsed="false">
      <c r="B65" s="44" t="n">
        <v>50</v>
      </c>
      <c r="C65" s="126" t="s">
        <v>1278</v>
      </c>
      <c r="D65" s="167" t="s">
        <v>1082</v>
      </c>
      <c r="E65" s="184" t="s">
        <v>335</v>
      </c>
      <c r="F65" s="50" t="s">
        <v>335</v>
      </c>
      <c r="G65" s="165" t="s">
        <v>1279</v>
      </c>
    </row>
    <row r="66" customFormat="false" ht="15" hidden="false" customHeight="false" outlineLevel="0" collapsed="false">
      <c r="B66" s="42" t="n">
        <v>60</v>
      </c>
      <c r="C66" s="124" t="s">
        <v>1280</v>
      </c>
      <c r="D66" s="138" t="s">
        <v>1185</v>
      </c>
      <c r="E66" s="182" t="s">
        <v>1186</v>
      </c>
      <c r="F66" s="139" t="n">
        <v>4</v>
      </c>
      <c r="G66" s="163" t="s">
        <v>1281</v>
      </c>
    </row>
    <row r="67" customFormat="false" ht="15" hidden="false" customHeight="false" outlineLevel="0" collapsed="false">
      <c r="B67" s="44" t="n">
        <v>72</v>
      </c>
      <c r="C67" s="126" t="s">
        <v>1282</v>
      </c>
      <c r="D67" s="140" t="s">
        <v>1185</v>
      </c>
      <c r="E67" s="181" t="s">
        <v>1283</v>
      </c>
      <c r="F67" s="50" t="s">
        <v>335</v>
      </c>
      <c r="G67" s="165" t="s">
        <v>1284</v>
      </c>
    </row>
    <row r="68" customFormat="false" ht="15" hidden="false" customHeight="false" outlineLevel="0" collapsed="false">
      <c r="B68" s="42" t="n">
        <v>85</v>
      </c>
      <c r="C68" s="124" t="s">
        <v>1285</v>
      </c>
      <c r="D68" s="168" t="s">
        <v>1082</v>
      </c>
      <c r="E68" s="180" t="s">
        <v>335</v>
      </c>
      <c r="F68" s="49" t="s">
        <v>335</v>
      </c>
      <c r="G68" s="163" t="s">
        <v>1286</v>
      </c>
    </row>
    <row r="69" customFormat="false" ht="15" hidden="false" customHeight="false" outlineLevel="0" collapsed="false">
      <c r="B69" s="44" t="n">
        <v>100</v>
      </c>
      <c r="C69" s="126" t="s">
        <v>1287</v>
      </c>
      <c r="D69" s="151" t="s">
        <v>780</v>
      </c>
      <c r="E69" s="181" t="s">
        <v>1288</v>
      </c>
      <c r="F69" s="141" t="n">
        <v>0.5</v>
      </c>
      <c r="G69" s="165" t="s">
        <v>1289</v>
      </c>
    </row>
    <row r="71" customFormat="false" ht="21.75" hidden="false" customHeight="true" outlineLevel="0" collapsed="false">
      <c r="B71" s="174" t="s">
        <v>1290</v>
      </c>
      <c r="C71" s="174"/>
      <c r="D71" s="174"/>
      <c r="E71" s="174"/>
      <c r="F71" s="174"/>
      <c r="G71" s="174"/>
    </row>
    <row r="72" customFormat="false" ht="15" hidden="false" customHeight="true" outlineLevel="0" collapsed="false">
      <c r="B72" s="175" t="s">
        <v>1160</v>
      </c>
      <c r="C72" s="176" t="s">
        <v>1291</v>
      </c>
      <c r="D72" s="176"/>
      <c r="E72" s="176"/>
      <c r="F72" s="176"/>
      <c r="G72" s="176"/>
    </row>
    <row r="73" customFormat="false" ht="15" hidden="false" customHeight="true" outlineLevel="0" collapsed="false">
      <c r="B73" s="177" t="s">
        <v>1162</v>
      </c>
      <c r="C73" s="178" t="s">
        <v>1292</v>
      </c>
      <c r="D73" s="178"/>
      <c r="E73" s="178"/>
      <c r="F73" s="178"/>
      <c r="G73" s="178"/>
    </row>
    <row r="74" customFormat="false" ht="24" hidden="false" customHeight="true" outlineLevel="0" collapsed="false">
      <c r="B74" s="8" t="s">
        <v>151</v>
      </c>
      <c r="C74" s="123" t="s">
        <v>835</v>
      </c>
      <c r="D74" s="123" t="s">
        <v>18</v>
      </c>
      <c r="E74" s="123" t="s">
        <v>1164</v>
      </c>
      <c r="F74" s="123" t="s">
        <v>944</v>
      </c>
      <c r="G74" s="123" t="s">
        <v>1165</v>
      </c>
    </row>
    <row r="75" customFormat="false" ht="15" hidden="false" customHeight="false" outlineLevel="0" collapsed="false">
      <c r="B75" s="44" t="n">
        <v>1</v>
      </c>
      <c r="C75" s="126" t="s">
        <v>1262</v>
      </c>
      <c r="D75" s="186" t="s">
        <v>929</v>
      </c>
      <c r="E75" s="184" t="s">
        <v>335</v>
      </c>
      <c r="F75" s="141" t="n">
        <v>1.1</v>
      </c>
      <c r="G75" s="165" t="s">
        <v>1293</v>
      </c>
    </row>
    <row r="76" customFormat="false" ht="15" hidden="false" customHeight="false" outlineLevel="0" collapsed="false">
      <c r="B76" s="42" t="n">
        <v>5</v>
      </c>
      <c r="C76" s="124" t="s">
        <v>1294</v>
      </c>
      <c r="D76" s="148" t="s">
        <v>1194</v>
      </c>
      <c r="E76" s="182" t="s">
        <v>1169</v>
      </c>
      <c r="F76" s="139" t="n">
        <v>1.4</v>
      </c>
      <c r="G76" s="163" t="s">
        <v>1295</v>
      </c>
    </row>
    <row r="77" customFormat="false" ht="15" hidden="false" customHeight="false" outlineLevel="0" collapsed="false">
      <c r="B77" s="44" t="n">
        <v>11</v>
      </c>
      <c r="C77" s="126" t="s">
        <v>1296</v>
      </c>
      <c r="D77" s="187" t="s">
        <v>767</v>
      </c>
      <c r="E77" s="181" t="s">
        <v>1182</v>
      </c>
      <c r="F77" s="141" t="n">
        <v>1.8</v>
      </c>
      <c r="G77" s="165" t="s">
        <v>1297</v>
      </c>
    </row>
    <row r="78" customFormat="false" ht="15" hidden="false" customHeight="false" outlineLevel="0" collapsed="false">
      <c r="B78" s="42" t="n">
        <v>18</v>
      </c>
      <c r="C78" s="124" t="s">
        <v>1298</v>
      </c>
      <c r="D78" s="144" t="s">
        <v>1096</v>
      </c>
      <c r="E78" s="182" t="s">
        <v>1169</v>
      </c>
      <c r="F78" s="139" t="n">
        <v>1.2</v>
      </c>
      <c r="G78" s="163" t="s">
        <v>1299</v>
      </c>
    </row>
    <row r="79" customFormat="false" ht="15" hidden="false" customHeight="false" outlineLevel="0" collapsed="false">
      <c r="B79" s="44" t="n">
        <v>25</v>
      </c>
      <c r="C79" s="126" t="s">
        <v>1300</v>
      </c>
      <c r="D79" s="149" t="s">
        <v>771</v>
      </c>
      <c r="E79" s="181" t="s">
        <v>1301</v>
      </c>
      <c r="F79" s="50" t="s">
        <v>335</v>
      </c>
      <c r="G79" s="165" t="s">
        <v>1302</v>
      </c>
    </row>
    <row r="80" customFormat="false" ht="15" hidden="false" customHeight="false" outlineLevel="0" collapsed="false">
      <c r="B80" s="142" t="n">
        <v>32</v>
      </c>
      <c r="C80" s="129" t="s">
        <v>1303</v>
      </c>
      <c r="D80" s="142" t="s">
        <v>1181</v>
      </c>
      <c r="E80" s="182" t="s">
        <v>1182</v>
      </c>
      <c r="F80" s="139" t="n">
        <v>2.2</v>
      </c>
      <c r="G80" s="163" t="s">
        <v>1304</v>
      </c>
    </row>
    <row r="81" customFormat="false" ht="15" hidden="false" customHeight="false" outlineLevel="0" collapsed="false">
      <c r="B81" s="44" t="n">
        <v>42</v>
      </c>
      <c r="C81" s="126" t="s">
        <v>1305</v>
      </c>
      <c r="D81" s="147" t="s">
        <v>1194</v>
      </c>
      <c r="E81" s="181" t="s">
        <v>1186</v>
      </c>
      <c r="F81" s="141" t="n">
        <v>2</v>
      </c>
      <c r="G81" s="165" t="s">
        <v>1306</v>
      </c>
    </row>
    <row r="82" customFormat="false" ht="15" hidden="false" customHeight="false" outlineLevel="0" collapsed="false">
      <c r="B82" s="42" t="n">
        <v>52</v>
      </c>
      <c r="C82" s="124" t="s">
        <v>1307</v>
      </c>
      <c r="D82" s="168" t="s">
        <v>1082</v>
      </c>
      <c r="E82" s="180" t="s">
        <v>335</v>
      </c>
      <c r="F82" s="49" t="s">
        <v>335</v>
      </c>
      <c r="G82" s="163" t="s">
        <v>1308</v>
      </c>
    </row>
    <row r="83" customFormat="false" ht="15" hidden="false" customHeight="false" outlineLevel="0" collapsed="false">
      <c r="B83" s="44" t="n">
        <v>62</v>
      </c>
      <c r="C83" s="126" t="s">
        <v>1309</v>
      </c>
      <c r="D83" s="140" t="s">
        <v>1185</v>
      </c>
      <c r="E83" s="181" t="s">
        <v>1212</v>
      </c>
      <c r="F83" s="141" t="n">
        <v>0.8</v>
      </c>
      <c r="G83" s="173" t="s">
        <v>1310</v>
      </c>
    </row>
    <row r="84" customFormat="false" ht="15" hidden="false" customHeight="false" outlineLevel="0" collapsed="false">
      <c r="B84" s="42" t="n">
        <v>74</v>
      </c>
      <c r="C84" s="124" t="s">
        <v>1311</v>
      </c>
      <c r="D84" s="138" t="s">
        <v>1185</v>
      </c>
      <c r="E84" s="182" t="s">
        <v>1223</v>
      </c>
      <c r="F84" s="139" t="n">
        <v>3.5</v>
      </c>
      <c r="G84" s="163" t="s">
        <v>1312</v>
      </c>
    </row>
    <row r="85" customFormat="false" ht="15" hidden="false" customHeight="false" outlineLevel="0" collapsed="false">
      <c r="B85" s="44" t="n">
        <v>86</v>
      </c>
      <c r="C85" s="126" t="s">
        <v>1313</v>
      </c>
      <c r="D85" s="167" t="s">
        <v>1082</v>
      </c>
      <c r="E85" s="184" t="s">
        <v>335</v>
      </c>
      <c r="F85" s="50" t="s">
        <v>335</v>
      </c>
      <c r="G85" s="165" t="s">
        <v>1314</v>
      </c>
    </row>
    <row r="86" customFormat="false" ht="15" hidden="false" customHeight="false" outlineLevel="0" collapsed="false">
      <c r="B86" s="42" t="n">
        <v>100</v>
      </c>
      <c r="C86" s="124" t="s">
        <v>1315</v>
      </c>
      <c r="D86" s="152" t="s">
        <v>780</v>
      </c>
      <c r="E86" s="182" t="s">
        <v>1228</v>
      </c>
      <c r="F86" s="139" t="n">
        <v>5</v>
      </c>
      <c r="G86" s="163" t="s">
        <v>1316</v>
      </c>
    </row>
  </sheetData>
  <mergeCells count="17">
    <mergeCell ref="A1:G1"/>
    <mergeCell ref="A2:G2"/>
    <mergeCell ref="B4:G4"/>
    <mergeCell ref="C5:G5"/>
    <mergeCell ref="C6:G6"/>
    <mergeCell ref="B21:G21"/>
    <mergeCell ref="C22:G22"/>
    <mergeCell ref="C23:G23"/>
    <mergeCell ref="B37:G37"/>
    <mergeCell ref="C38:G38"/>
    <mergeCell ref="C39:G39"/>
    <mergeCell ref="B54:G54"/>
    <mergeCell ref="C55:G55"/>
    <mergeCell ref="C56:G56"/>
    <mergeCell ref="B71:G71"/>
    <mergeCell ref="C72:G72"/>
    <mergeCell ref="C73:G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46"/>
  </cols>
  <sheetData>
    <row r="1" customFormat="false" ht="33.75" hidden="false" customHeight="true" outlineLevel="0" collapsed="false">
      <c r="A1" s="2" t="s">
        <v>1317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122" t="s">
        <v>1318</v>
      </c>
      <c r="B2" s="122"/>
      <c r="C2" s="122"/>
      <c r="D2" s="122"/>
      <c r="E2" s="122"/>
      <c r="F2" s="122"/>
      <c r="G2" s="122"/>
    </row>
    <row r="4" customFormat="false" ht="21.75" hidden="false" customHeight="true" outlineLevel="0" collapsed="false">
      <c r="B4" s="174" t="s">
        <v>1319</v>
      </c>
      <c r="C4" s="174"/>
      <c r="D4" s="174"/>
      <c r="E4" s="174"/>
      <c r="F4" s="174"/>
      <c r="G4" s="174"/>
    </row>
    <row r="5" customFormat="false" ht="15" hidden="false" customHeight="true" outlineLevel="0" collapsed="false">
      <c r="B5" s="175" t="s">
        <v>1160</v>
      </c>
      <c r="C5" s="176" t="s">
        <v>1320</v>
      </c>
      <c r="D5" s="176"/>
      <c r="E5" s="176"/>
      <c r="F5" s="176"/>
      <c r="G5" s="176"/>
    </row>
    <row r="6" customFormat="false" ht="15" hidden="false" customHeight="true" outlineLevel="0" collapsed="false">
      <c r="B6" s="177" t="s">
        <v>1162</v>
      </c>
      <c r="C6" s="178" t="s">
        <v>1321</v>
      </c>
      <c r="D6" s="178"/>
      <c r="E6" s="178"/>
      <c r="F6" s="178"/>
      <c r="G6" s="178"/>
    </row>
    <row r="7" customFormat="false" ht="24" hidden="false" customHeight="true" outlineLevel="0" collapsed="false">
      <c r="B7" s="8" t="s">
        <v>151</v>
      </c>
      <c r="C7" s="123" t="s">
        <v>835</v>
      </c>
      <c r="D7" s="123" t="s">
        <v>18</v>
      </c>
      <c r="E7" s="123" t="s">
        <v>1164</v>
      </c>
      <c r="F7" s="123" t="s">
        <v>944</v>
      </c>
      <c r="G7" s="123" t="s">
        <v>1165</v>
      </c>
    </row>
    <row r="8" customFormat="false" ht="15" hidden="false" customHeight="false" outlineLevel="0" collapsed="false">
      <c r="B8" s="42" t="n">
        <v>1</v>
      </c>
      <c r="C8" s="124" t="s">
        <v>1322</v>
      </c>
      <c r="D8" s="179" t="s">
        <v>929</v>
      </c>
      <c r="E8" s="180" t="s">
        <v>335</v>
      </c>
      <c r="F8" s="139" t="n">
        <v>1.2</v>
      </c>
      <c r="G8" s="163" t="s">
        <v>1323</v>
      </c>
    </row>
    <row r="9" customFormat="false" ht="15" hidden="false" customHeight="false" outlineLevel="0" collapsed="false">
      <c r="B9" s="44" t="n">
        <v>5</v>
      </c>
      <c r="C9" s="126" t="s">
        <v>1324</v>
      </c>
      <c r="D9" s="140" t="s">
        <v>1185</v>
      </c>
      <c r="E9" s="181" t="s">
        <v>1325</v>
      </c>
      <c r="F9" s="141" t="n">
        <v>2</v>
      </c>
      <c r="G9" s="165" t="s">
        <v>1326</v>
      </c>
    </row>
    <row r="10" customFormat="false" ht="15" hidden="false" customHeight="false" outlineLevel="0" collapsed="false">
      <c r="B10" s="42" t="n">
        <v>11</v>
      </c>
      <c r="C10" s="124" t="s">
        <v>1327</v>
      </c>
      <c r="D10" s="148" t="s">
        <v>1194</v>
      </c>
      <c r="E10" s="182" t="s">
        <v>1328</v>
      </c>
      <c r="F10" s="139" t="n">
        <v>0.9</v>
      </c>
      <c r="G10" s="163" t="s">
        <v>1329</v>
      </c>
    </row>
    <row r="11" customFormat="false" ht="15" hidden="false" customHeight="false" outlineLevel="0" collapsed="false">
      <c r="B11" s="44" t="n">
        <v>18</v>
      </c>
      <c r="C11" s="126" t="s">
        <v>1330</v>
      </c>
      <c r="D11" s="140" t="s">
        <v>1185</v>
      </c>
      <c r="E11" s="181" t="s">
        <v>1325</v>
      </c>
      <c r="F11" s="141" t="n">
        <v>1.6</v>
      </c>
      <c r="G11" s="165" t="s">
        <v>1331</v>
      </c>
    </row>
    <row r="12" customFormat="false" ht="15" hidden="false" customHeight="false" outlineLevel="0" collapsed="false">
      <c r="B12" s="42" t="n">
        <v>25</v>
      </c>
      <c r="C12" s="124" t="s">
        <v>1332</v>
      </c>
      <c r="D12" s="146" t="s">
        <v>767</v>
      </c>
      <c r="E12" s="182" t="s">
        <v>1172</v>
      </c>
      <c r="F12" s="139" t="n">
        <v>1.2</v>
      </c>
      <c r="G12" s="163" t="s">
        <v>1333</v>
      </c>
    </row>
    <row r="13" customFormat="false" ht="15" hidden="false" customHeight="false" outlineLevel="0" collapsed="false">
      <c r="B13" s="62" t="n">
        <v>33</v>
      </c>
      <c r="C13" s="183" t="s">
        <v>1334</v>
      </c>
      <c r="D13" s="143" t="s">
        <v>1181</v>
      </c>
      <c r="E13" s="181" t="s">
        <v>1325</v>
      </c>
      <c r="F13" s="141" t="n">
        <v>1.3</v>
      </c>
      <c r="G13" s="165" t="s">
        <v>1335</v>
      </c>
    </row>
    <row r="14" customFormat="false" ht="15" hidden="false" customHeight="false" outlineLevel="0" collapsed="false">
      <c r="B14" s="142" t="n">
        <v>40</v>
      </c>
      <c r="C14" s="129" t="s">
        <v>1336</v>
      </c>
      <c r="D14" s="138" t="s">
        <v>1185</v>
      </c>
      <c r="E14" s="182" t="s">
        <v>1337</v>
      </c>
      <c r="F14" s="139" t="n">
        <v>2.8</v>
      </c>
      <c r="G14" s="163" t="s">
        <v>1338</v>
      </c>
    </row>
    <row r="15" customFormat="false" ht="15" hidden="false" customHeight="false" outlineLevel="0" collapsed="false">
      <c r="B15" s="44" t="n">
        <v>50</v>
      </c>
      <c r="C15" s="126" t="s">
        <v>1339</v>
      </c>
      <c r="D15" s="167" t="s">
        <v>1082</v>
      </c>
      <c r="E15" s="184" t="s">
        <v>335</v>
      </c>
      <c r="F15" s="50" t="s">
        <v>335</v>
      </c>
      <c r="G15" s="165" t="s">
        <v>1340</v>
      </c>
    </row>
    <row r="16" customFormat="false" ht="15" hidden="false" customHeight="false" outlineLevel="0" collapsed="false">
      <c r="B16" s="42" t="n">
        <v>60</v>
      </c>
      <c r="C16" s="124" t="s">
        <v>1341</v>
      </c>
      <c r="D16" s="148" t="s">
        <v>1194</v>
      </c>
      <c r="E16" s="182" t="s">
        <v>1342</v>
      </c>
      <c r="F16" s="139" t="n">
        <v>2.4</v>
      </c>
      <c r="G16" s="163" t="s">
        <v>1343</v>
      </c>
    </row>
    <row r="17" customFormat="false" ht="15" hidden="false" customHeight="false" outlineLevel="0" collapsed="false">
      <c r="B17" s="44" t="n">
        <v>72</v>
      </c>
      <c r="C17" s="126" t="s">
        <v>1344</v>
      </c>
      <c r="D17" s="140" t="s">
        <v>1185</v>
      </c>
      <c r="E17" s="181" t="s">
        <v>1345</v>
      </c>
      <c r="F17" s="141" t="n">
        <v>4</v>
      </c>
      <c r="G17" s="165" t="s">
        <v>1346</v>
      </c>
    </row>
    <row r="18" customFormat="false" ht="15" hidden="false" customHeight="false" outlineLevel="0" collapsed="false">
      <c r="B18" s="42" t="n">
        <v>85</v>
      </c>
      <c r="C18" s="124" t="s">
        <v>1347</v>
      </c>
      <c r="D18" s="168" t="s">
        <v>1082</v>
      </c>
      <c r="E18" s="180" t="s">
        <v>335</v>
      </c>
      <c r="F18" s="49" t="s">
        <v>335</v>
      </c>
      <c r="G18" s="163" t="s">
        <v>1348</v>
      </c>
    </row>
    <row r="19" customFormat="false" ht="15" hidden="false" customHeight="false" outlineLevel="0" collapsed="false">
      <c r="B19" s="44" t="n">
        <v>100</v>
      </c>
      <c r="C19" s="126" t="s">
        <v>1349</v>
      </c>
      <c r="D19" s="151" t="s">
        <v>780</v>
      </c>
      <c r="E19" s="181" t="s">
        <v>1288</v>
      </c>
      <c r="F19" s="141" t="n">
        <v>6</v>
      </c>
      <c r="G19" s="165" t="s">
        <v>1350</v>
      </c>
    </row>
    <row r="21" customFormat="false" ht="21.75" hidden="false" customHeight="true" outlineLevel="0" collapsed="false">
      <c r="B21" s="174" t="s">
        <v>1351</v>
      </c>
      <c r="C21" s="174"/>
      <c r="D21" s="174"/>
      <c r="E21" s="174"/>
      <c r="F21" s="174"/>
      <c r="G21" s="174"/>
    </row>
    <row r="22" customFormat="false" ht="15" hidden="false" customHeight="true" outlineLevel="0" collapsed="false">
      <c r="B22" s="175" t="s">
        <v>1160</v>
      </c>
      <c r="C22" s="176" t="s">
        <v>1352</v>
      </c>
      <c r="D22" s="176"/>
      <c r="E22" s="176"/>
      <c r="F22" s="176"/>
      <c r="G22" s="176"/>
    </row>
    <row r="23" customFormat="false" ht="15" hidden="false" customHeight="true" outlineLevel="0" collapsed="false">
      <c r="B23" s="177" t="s">
        <v>1162</v>
      </c>
      <c r="C23" s="178" t="s">
        <v>1353</v>
      </c>
      <c r="D23" s="178"/>
      <c r="E23" s="178"/>
      <c r="F23" s="178"/>
      <c r="G23" s="178"/>
    </row>
    <row r="24" customFormat="false" ht="24" hidden="false" customHeight="true" outlineLevel="0" collapsed="false">
      <c r="B24" s="8" t="s">
        <v>151</v>
      </c>
      <c r="C24" s="123" t="s">
        <v>835</v>
      </c>
      <c r="D24" s="123" t="s">
        <v>18</v>
      </c>
      <c r="E24" s="123" t="s">
        <v>1164</v>
      </c>
      <c r="F24" s="123" t="s">
        <v>944</v>
      </c>
      <c r="G24" s="123" t="s">
        <v>1165</v>
      </c>
    </row>
    <row r="25" customFormat="false" ht="15" hidden="false" customHeight="false" outlineLevel="0" collapsed="false">
      <c r="B25" s="44" t="n">
        <v>1</v>
      </c>
      <c r="C25" s="126" t="s">
        <v>1354</v>
      </c>
      <c r="D25" s="186" t="s">
        <v>929</v>
      </c>
      <c r="E25" s="184" t="s">
        <v>335</v>
      </c>
      <c r="F25" s="141" t="n">
        <v>1.4</v>
      </c>
      <c r="G25" s="165" t="s">
        <v>1355</v>
      </c>
    </row>
    <row r="26" customFormat="false" ht="15" hidden="false" customHeight="false" outlineLevel="0" collapsed="false">
      <c r="B26" s="42" t="n">
        <v>6</v>
      </c>
      <c r="C26" s="124" t="s">
        <v>1356</v>
      </c>
      <c r="D26" s="138" t="s">
        <v>1185</v>
      </c>
      <c r="E26" s="182" t="s">
        <v>1325</v>
      </c>
      <c r="F26" s="139" t="n">
        <v>1</v>
      </c>
      <c r="G26" s="185" t="s">
        <v>1357</v>
      </c>
    </row>
    <row r="27" customFormat="false" ht="15" hidden="false" customHeight="false" outlineLevel="0" collapsed="false">
      <c r="B27" s="44" t="n">
        <v>12</v>
      </c>
      <c r="C27" s="126" t="s">
        <v>1358</v>
      </c>
      <c r="D27" s="147" t="s">
        <v>1194</v>
      </c>
      <c r="E27" s="181" t="s">
        <v>1328</v>
      </c>
      <c r="F27" s="141" t="n">
        <v>1.7</v>
      </c>
      <c r="G27" s="165" t="s">
        <v>1359</v>
      </c>
    </row>
    <row r="28" customFormat="false" ht="15" hidden="false" customHeight="false" outlineLevel="0" collapsed="false">
      <c r="B28" s="42" t="n">
        <v>20</v>
      </c>
      <c r="C28" s="124" t="s">
        <v>1360</v>
      </c>
      <c r="D28" s="150" t="s">
        <v>771</v>
      </c>
      <c r="E28" s="182" t="s">
        <v>1361</v>
      </c>
      <c r="F28" s="49" t="s">
        <v>335</v>
      </c>
      <c r="G28" s="163" t="s">
        <v>1362</v>
      </c>
    </row>
    <row r="29" customFormat="false" ht="15" hidden="false" customHeight="false" outlineLevel="0" collapsed="false">
      <c r="B29" s="44" t="n">
        <v>28</v>
      </c>
      <c r="C29" s="126" t="s">
        <v>1363</v>
      </c>
      <c r="D29" s="147" t="s">
        <v>1194</v>
      </c>
      <c r="E29" s="181" t="s">
        <v>1337</v>
      </c>
      <c r="F29" s="141" t="n">
        <v>2</v>
      </c>
      <c r="G29" s="165" t="s">
        <v>1364</v>
      </c>
    </row>
    <row r="30" customFormat="false" ht="15" hidden="false" customHeight="false" outlineLevel="0" collapsed="false">
      <c r="B30" s="142" t="n">
        <v>35</v>
      </c>
      <c r="C30" s="129" t="s">
        <v>1365</v>
      </c>
      <c r="D30" s="142" t="s">
        <v>1181</v>
      </c>
      <c r="E30" s="182" t="s">
        <v>1328</v>
      </c>
      <c r="F30" s="139" t="n">
        <v>1.8</v>
      </c>
      <c r="G30" s="163" t="s">
        <v>1366</v>
      </c>
    </row>
    <row r="31" customFormat="false" ht="15" hidden="false" customHeight="false" outlineLevel="0" collapsed="false">
      <c r="B31" s="44" t="n">
        <v>44</v>
      </c>
      <c r="C31" s="126" t="s">
        <v>1367</v>
      </c>
      <c r="D31" s="140" t="s">
        <v>1185</v>
      </c>
      <c r="E31" s="181" t="s">
        <v>1342</v>
      </c>
      <c r="F31" s="141" t="n">
        <v>0.6</v>
      </c>
      <c r="G31" s="173" t="s">
        <v>1368</v>
      </c>
    </row>
    <row r="32" customFormat="false" ht="15" hidden="false" customHeight="false" outlineLevel="0" collapsed="false">
      <c r="B32" s="42" t="n">
        <v>54</v>
      </c>
      <c r="C32" s="124" t="s">
        <v>1369</v>
      </c>
      <c r="D32" s="168" t="s">
        <v>1082</v>
      </c>
      <c r="E32" s="180" t="s">
        <v>335</v>
      </c>
      <c r="F32" s="49" t="s">
        <v>335</v>
      </c>
      <c r="G32" s="163" t="s">
        <v>1370</v>
      </c>
    </row>
    <row r="33" customFormat="false" ht="15" hidden="false" customHeight="false" outlineLevel="0" collapsed="false">
      <c r="B33" s="44" t="n">
        <v>64</v>
      </c>
      <c r="C33" s="126" t="s">
        <v>1371</v>
      </c>
      <c r="D33" s="147" t="s">
        <v>1194</v>
      </c>
      <c r="E33" s="181" t="s">
        <v>1342</v>
      </c>
      <c r="F33" s="141" t="n">
        <v>2.4</v>
      </c>
      <c r="G33" s="165" t="s">
        <v>1372</v>
      </c>
    </row>
    <row r="34" customFormat="false" ht="15" hidden="false" customHeight="false" outlineLevel="0" collapsed="false">
      <c r="B34" s="42" t="n">
        <v>76</v>
      </c>
      <c r="C34" s="124" t="s">
        <v>1373</v>
      </c>
      <c r="D34" s="138" t="s">
        <v>1185</v>
      </c>
      <c r="E34" s="182" t="s">
        <v>1374</v>
      </c>
      <c r="F34" s="139" t="n">
        <v>0.5</v>
      </c>
      <c r="G34" s="163" t="s">
        <v>1375</v>
      </c>
    </row>
    <row r="35" customFormat="false" ht="15" hidden="false" customHeight="false" outlineLevel="0" collapsed="false">
      <c r="B35" s="44" t="n">
        <v>88</v>
      </c>
      <c r="C35" s="126" t="s">
        <v>1376</v>
      </c>
      <c r="D35" s="167" t="s">
        <v>1082</v>
      </c>
      <c r="E35" s="184" t="s">
        <v>335</v>
      </c>
      <c r="F35" s="50" t="s">
        <v>335</v>
      </c>
      <c r="G35" s="165" t="s">
        <v>1377</v>
      </c>
    </row>
    <row r="36" customFormat="false" ht="15" hidden="false" customHeight="false" outlineLevel="0" collapsed="false">
      <c r="B36" s="42" t="n">
        <v>100</v>
      </c>
      <c r="C36" s="124" t="s">
        <v>1378</v>
      </c>
      <c r="D36" s="152" t="s">
        <v>780</v>
      </c>
      <c r="E36" s="182" t="s">
        <v>1379</v>
      </c>
      <c r="F36" s="139" t="n">
        <v>5.5</v>
      </c>
      <c r="G36" s="163" t="s">
        <v>1380</v>
      </c>
    </row>
    <row r="38" customFormat="false" ht="21.75" hidden="false" customHeight="true" outlineLevel="0" collapsed="false">
      <c r="B38" s="174" t="s">
        <v>1381</v>
      </c>
      <c r="C38" s="174"/>
      <c r="D38" s="174"/>
      <c r="E38" s="174"/>
      <c r="F38" s="174"/>
      <c r="G38" s="174"/>
    </row>
    <row r="39" customFormat="false" ht="15" hidden="false" customHeight="true" outlineLevel="0" collapsed="false">
      <c r="B39" s="175" t="s">
        <v>1160</v>
      </c>
      <c r="C39" s="176" t="s">
        <v>1382</v>
      </c>
      <c r="D39" s="176"/>
      <c r="E39" s="176"/>
      <c r="F39" s="176"/>
      <c r="G39" s="176"/>
    </row>
    <row r="40" customFormat="false" ht="15" hidden="false" customHeight="true" outlineLevel="0" collapsed="false">
      <c r="B40" s="177" t="s">
        <v>1162</v>
      </c>
      <c r="C40" s="178" t="s">
        <v>1383</v>
      </c>
      <c r="D40" s="178"/>
      <c r="E40" s="178"/>
      <c r="F40" s="178"/>
      <c r="G40" s="178"/>
    </row>
    <row r="41" customFormat="false" ht="24" hidden="false" customHeight="true" outlineLevel="0" collapsed="false">
      <c r="B41" s="8" t="s">
        <v>151</v>
      </c>
      <c r="C41" s="123" t="s">
        <v>835</v>
      </c>
      <c r="D41" s="123" t="s">
        <v>18</v>
      </c>
      <c r="E41" s="123" t="s">
        <v>1164</v>
      </c>
      <c r="F41" s="123" t="s">
        <v>944</v>
      </c>
      <c r="G41" s="123" t="s">
        <v>1165</v>
      </c>
    </row>
    <row r="42" customFormat="false" ht="15" hidden="false" customHeight="false" outlineLevel="0" collapsed="false">
      <c r="B42" s="42" t="n">
        <v>1</v>
      </c>
      <c r="C42" s="124" t="s">
        <v>1384</v>
      </c>
      <c r="D42" s="179" t="s">
        <v>929</v>
      </c>
      <c r="E42" s="180" t="s">
        <v>335</v>
      </c>
      <c r="F42" s="139" t="n">
        <v>1.1</v>
      </c>
      <c r="G42" s="163" t="s">
        <v>1385</v>
      </c>
    </row>
    <row r="43" customFormat="false" ht="15" hidden="false" customHeight="false" outlineLevel="0" collapsed="false">
      <c r="B43" s="44" t="n">
        <v>5</v>
      </c>
      <c r="C43" s="126" t="s">
        <v>1386</v>
      </c>
      <c r="D43" s="140" t="s">
        <v>1185</v>
      </c>
      <c r="E43" s="181" t="s">
        <v>1387</v>
      </c>
      <c r="F43" s="141" t="n">
        <v>1.2</v>
      </c>
      <c r="G43" s="165" t="s">
        <v>1388</v>
      </c>
    </row>
    <row r="44" customFormat="false" ht="15" hidden="false" customHeight="false" outlineLevel="0" collapsed="false">
      <c r="B44" s="42" t="n">
        <v>11</v>
      </c>
      <c r="C44" s="124" t="s">
        <v>1334</v>
      </c>
      <c r="D44" s="138" t="s">
        <v>1185</v>
      </c>
      <c r="E44" s="182" t="s">
        <v>1387</v>
      </c>
      <c r="F44" s="139" t="n">
        <v>1.2</v>
      </c>
      <c r="G44" s="185" t="s">
        <v>1389</v>
      </c>
    </row>
    <row r="45" customFormat="false" ht="15" hidden="false" customHeight="false" outlineLevel="0" collapsed="false">
      <c r="B45" s="44" t="n">
        <v>18</v>
      </c>
      <c r="C45" s="126" t="s">
        <v>1390</v>
      </c>
      <c r="D45" s="147" t="s">
        <v>1194</v>
      </c>
      <c r="E45" s="181" t="s">
        <v>1391</v>
      </c>
      <c r="F45" s="141" t="n">
        <v>1</v>
      </c>
      <c r="G45" s="165" t="s">
        <v>1392</v>
      </c>
    </row>
    <row r="46" customFormat="false" ht="15" hidden="false" customHeight="false" outlineLevel="0" collapsed="false">
      <c r="B46" s="42" t="n">
        <v>25</v>
      </c>
      <c r="C46" s="124" t="s">
        <v>1393</v>
      </c>
      <c r="D46" s="148" t="s">
        <v>1194</v>
      </c>
      <c r="E46" s="182" t="s">
        <v>1394</v>
      </c>
      <c r="F46" s="139" t="n">
        <v>1.6</v>
      </c>
      <c r="G46" s="163" t="s">
        <v>1395</v>
      </c>
    </row>
    <row r="47" customFormat="false" ht="15" hidden="false" customHeight="false" outlineLevel="0" collapsed="false">
      <c r="B47" s="62" t="n">
        <v>33</v>
      </c>
      <c r="C47" s="183" t="s">
        <v>1396</v>
      </c>
      <c r="D47" s="143" t="s">
        <v>1181</v>
      </c>
      <c r="E47" s="181" t="s">
        <v>1397</v>
      </c>
      <c r="F47" s="141" t="n">
        <v>1.4</v>
      </c>
      <c r="G47" s="165" t="s">
        <v>1398</v>
      </c>
    </row>
    <row r="48" customFormat="false" ht="15" hidden="false" customHeight="false" outlineLevel="0" collapsed="false">
      <c r="B48" s="42" t="n">
        <v>42</v>
      </c>
      <c r="C48" s="124" t="s">
        <v>1399</v>
      </c>
      <c r="D48" s="148" t="s">
        <v>1194</v>
      </c>
      <c r="E48" s="182" t="s">
        <v>1400</v>
      </c>
      <c r="F48" s="139" t="n">
        <v>2</v>
      </c>
      <c r="G48" s="163" t="s">
        <v>1401</v>
      </c>
    </row>
    <row r="49" customFormat="false" ht="15" hidden="false" customHeight="false" outlineLevel="0" collapsed="false">
      <c r="B49" s="44" t="n">
        <v>52</v>
      </c>
      <c r="C49" s="126" t="s">
        <v>1402</v>
      </c>
      <c r="D49" s="167" t="s">
        <v>1082</v>
      </c>
      <c r="E49" s="184" t="s">
        <v>335</v>
      </c>
      <c r="F49" s="50" t="s">
        <v>335</v>
      </c>
      <c r="G49" s="165" t="s">
        <v>1403</v>
      </c>
    </row>
    <row r="50" customFormat="false" ht="15" hidden="false" customHeight="false" outlineLevel="0" collapsed="false">
      <c r="B50" s="42" t="n">
        <v>62</v>
      </c>
      <c r="C50" s="124" t="s">
        <v>1404</v>
      </c>
      <c r="D50" s="152" t="s">
        <v>1405</v>
      </c>
      <c r="E50" s="182" t="s">
        <v>1394</v>
      </c>
      <c r="F50" s="139" t="n">
        <v>1.5</v>
      </c>
      <c r="G50" s="163" t="s">
        <v>1406</v>
      </c>
    </row>
    <row r="51" customFormat="false" ht="15" hidden="false" customHeight="false" outlineLevel="0" collapsed="false">
      <c r="B51" s="44" t="n">
        <v>74</v>
      </c>
      <c r="C51" s="126" t="s">
        <v>1407</v>
      </c>
      <c r="D51" s="140" t="s">
        <v>1185</v>
      </c>
      <c r="E51" s="181" t="s">
        <v>1400</v>
      </c>
      <c r="F51" s="141" t="n">
        <v>1.8</v>
      </c>
      <c r="G51" s="165" t="s">
        <v>1408</v>
      </c>
    </row>
    <row r="52" customFormat="false" ht="15" hidden="false" customHeight="false" outlineLevel="0" collapsed="false">
      <c r="B52" s="42" t="n">
        <v>86</v>
      </c>
      <c r="C52" s="124" t="s">
        <v>1409</v>
      </c>
      <c r="D52" s="168" t="s">
        <v>1082</v>
      </c>
      <c r="E52" s="180" t="s">
        <v>335</v>
      </c>
      <c r="F52" s="49" t="s">
        <v>335</v>
      </c>
      <c r="G52" s="163" t="s">
        <v>1410</v>
      </c>
    </row>
    <row r="53" customFormat="false" ht="15" hidden="false" customHeight="false" outlineLevel="0" collapsed="false">
      <c r="B53" s="44" t="n">
        <v>100</v>
      </c>
      <c r="C53" s="126" t="s">
        <v>1411</v>
      </c>
      <c r="D53" s="151" t="s">
        <v>780</v>
      </c>
      <c r="E53" s="181" t="s">
        <v>1288</v>
      </c>
      <c r="F53" s="141" t="n">
        <v>5</v>
      </c>
      <c r="G53" s="165" t="s">
        <v>1412</v>
      </c>
    </row>
    <row r="55" customFormat="false" ht="21.75" hidden="false" customHeight="true" outlineLevel="0" collapsed="false">
      <c r="B55" s="174" t="s">
        <v>1413</v>
      </c>
      <c r="C55" s="174"/>
      <c r="D55" s="174"/>
      <c r="E55" s="174"/>
      <c r="F55" s="174"/>
      <c r="G55" s="174"/>
    </row>
    <row r="56" customFormat="false" ht="15" hidden="false" customHeight="true" outlineLevel="0" collapsed="false">
      <c r="B56" s="175" t="s">
        <v>1160</v>
      </c>
      <c r="C56" s="176" t="s">
        <v>1414</v>
      </c>
      <c r="D56" s="176"/>
      <c r="E56" s="176"/>
      <c r="F56" s="176"/>
      <c r="G56" s="176"/>
    </row>
    <row r="57" customFormat="false" ht="15" hidden="false" customHeight="true" outlineLevel="0" collapsed="false">
      <c r="B57" s="177" t="s">
        <v>1162</v>
      </c>
      <c r="C57" s="178" t="s">
        <v>1415</v>
      </c>
      <c r="D57" s="178"/>
      <c r="E57" s="178"/>
      <c r="F57" s="178"/>
      <c r="G57" s="178"/>
    </row>
    <row r="58" customFormat="false" ht="24" hidden="false" customHeight="true" outlineLevel="0" collapsed="false">
      <c r="B58" s="8" t="s">
        <v>151</v>
      </c>
      <c r="C58" s="123" t="s">
        <v>835</v>
      </c>
      <c r="D58" s="123" t="s">
        <v>18</v>
      </c>
      <c r="E58" s="123" t="s">
        <v>1164</v>
      </c>
      <c r="F58" s="123" t="s">
        <v>944</v>
      </c>
      <c r="G58" s="123" t="s">
        <v>1165</v>
      </c>
    </row>
    <row r="59" customFormat="false" ht="15" hidden="false" customHeight="false" outlineLevel="0" collapsed="false">
      <c r="B59" s="44" t="n">
        <v>1</v>
      </c>
      <c r="C59" s="126" t="s">
        <v>1416</v>
      </c>
      <c r="D59" s="186" t="s">
        <v>929</v>
      </c>
      <c r="E59" s="184" t="s">
        <v>335</v>
      </c>
      <c r="F59" s="141" t="n">
        <v>0.8</v>
      </c>
      <c r="G59" s="165" t="s">
        <v>1417</v>
      </c>
    </row>
    <row r="60" customFormat="false" ht="15" hidden="false" customHeight="false" outlineLevel="0" collapsed="false">
      <c r="B60" s="42" t="n">
        <v>4</v>
      </c>
      <c r="C60" s="124" t="s">
        <v>1418</v>
      </c>
      <c r="D60" s="138" t="s">
        <v>1185</v>
      </c>
      <c r="E60" s="182" t="s">
        <v>1419</v>
      </c>
      <c r="F60" s="139" t="n">
        <v>0.7</v>
      </c>
      <c r="G60" s="185" t="s">
        <v>1420</v>
      </c>
    </row>
    <row r="61" customFormat="false" ht="15" hidden="false" customHeight="false" outlineLevel="0" collapsed="false">
      <c r="B61" s="44" t="n">
        <v>9</v>
      </c>
      <c r="C61" s="126" t="s">
        <v>1421</v>
      </c>
      <c r="D61" s="187" t="s">
        <v>767</v>
      </c>
      <c r="E61" s="181" t="s">
        <v>1422</v>
      </c>
      <c r="F61" s="50" t="s">
        <v>335</v>
      </c>
      <c r="G61" s="165" t="s">
        <v>1423</v>
      </c>
    </row>
    <row r="62" customFormat="false" ht="15" hidden="false" customHeight="false" outlineLevel="0" collapsed="false">
      <c r="B62" s="42" t="n">
        <v>15</v>
      </c>
      <c r="C62" s="124" t="s">
        <v>1424</v>
      </c>
      <c r="D62" s="138" t="s">
        <v>1185</v>
      </c>
      <c r="E62" s="182" t="s">
        <v>1328</v>
      </c>
      <c r="F62" s="139" t="n">
        <v>0.5</v>
      </c>
      <c r="G62" s="185" t="s">
        <v>1425</v>
      </c>
    </row>
    <row r="63" customFormat="false" ht="15" hidden="false" customHeight="false" outlineLevel="0" collapsed="false">
      <c r="B63" s="44" t="n">
        <v>22</v>
      </c>
      <c r="C63" s="126" t="s">
        <v>1426</v>
      </c>
      <c r="D63" s="187" t="s">
        <v>767</v>
      </c>
      <c r="E63" s="181" t="s">
        <v>1325</v>
      </c>
      <c r="F63" s="141" t="n">
        <v>1.2</v>
      </c>
      <c r="G63" s="165" t="s">
        <v>1427</v>
      </c>
    </row>
    <row r="64" customFormat="false" ht="15" hidden="false" customHeight="false" outlineLevel="0" collapsed="false">
      <c r="B64" s="142" t="n">
        <v>30</v>
      </c>
      <c r="C64" s="129" t="s">
        <v>1428</v>
      </c>
      <c r="D64" s="142" t="s">
        <v>1181</v>
      </c>
      <c r="E64" s="182" t="s">
        <v>1429</v>
      </c>
      <c r="F64" s="49" t="s">
        <v>335</v>
      </c>
      <c r="G64" s="185" t="s">
        <v>1430</v>
      </c>
    </row>
    <row r="65" customFormat="false" ht="15" hidden="false" customHeight="false" outlineLevel="0" collapsed="false">
      <c r="B65" s="62" t="n">
        <v>40</v>
      </c>
      <c r="C65" s="183" t="s">
        <v>1431</v>
      </c>
      <c r="D65" s="147" t="s">
        <v>1194</v>
      </c>
      <c r="E65" s="181" t="s">
        <v>1337</v>
      </c>
      <c r="F65" s="141" t="n">
        <v>1.8</v>
      </c>
      <c r="G65" s="165" t="s">
        <v>1432</v>
      </c>
    </row>
    <row r="66" customFormat="false" ht="15" hidden="false" customHeight="false" outlineLevel="0" collapsed="false">
      <c r="B66" s="42" t="n">
        <v>50</v>
      </c>
      <c r="C66" s="124" t="s">
        <v>1433</v>
      </c>
      <c r="D66" s="168" t="s">
        <v>1082</v>
      </c>
      <c r="E66" s="180" t="s">
        <v>335</v>
      </c>
      <c r="F66" s="49" t="s">
        <v>335</v>
      </c>
      <c r="G66" s="163" t="s">
        <v>1434</v>
      </c>
    </row>
    <row r="67" customFormat="false" ht="15" hidden="false" customHeight="false" outlineLevel="0" collapsed="false">
      <c r="B67" s="44" t="n">
        <v>60</v>
      </c>
      <c r="C67" s="126" t="s">
        <v>1435</v>
      </c>
      <c r="D67" s="187" t="s">
        <v>767</v>
      </c>
      <c r="E67" s="181" t="s">
        <v>1178</v>
      </c>
      <c r="F67" s="141" t="n">
        <v>1.5</v>
      </c>
      <c r="G67" s="165" t="s">
        <v>1436</v>
      </c>
    </row>
    <row r="68" customFormat="false" ht="15" hidden="false" customHeight="false" outlineLevel="0" collapsed="false">
      <c r="B68" s="42" t="n">
        <v>72</v>
      </c>
      <c r="C68" s="124" t="s">
        <v>1437</v>
      </c>
      <c r="D68" s="148" t="s">
        <v>1194</v>
      </c>
      <c r="E68" s="182" t="s">
        <v>1345</v>
      </c>
      <c r="F68" s="139" t="n">
        <v>0.6</v>
      </c>
      <c r="G68" s="163" t="s">
        <v>1438</v>
      </c>
    </row>
    <row r="69" customFormat="false" ht="15" hidden="false" customHeight="false" outlineLevel="0" collapsed="false">
      <c r="B69" s="44" t="n">
        <v>85</v>
      </c>
      <c r="C69" s="126" t="s">
        <v>1439</v>
      </c>
      <c r="D69" s="167" t="s">
        <v>1082</v>
      </c>
      <c r="E69" s="184" t="s">
        <v>335</v>
      </c>
      <c r="F69" s="50" t="s">
        <v>335</v>
      </c>
      <c r="G69" s="165" t="s">
        <v>1440</v>
      </c>
    </row>
    <row r="70" customFormat="false" ht="15" hidden="false" customHeight="false" outlineLevel="0" collapsed="false">
      <c r="B70" s="42" t="n">
        <v>100</v>
      </c>
      <c r="C70" s="124" t="s">
        <v>1441</v>
      </c>
      <c r="D70" s="152" t="s">
        <v>780</v>
      </c>
      <c r="E70" s="182" t="s">
        <v>1442</v>
      </c>
      <c r="F70" s="139" t="n">
        <v>0.4</v>
      </c>
      <c r="G70" s="163" t="s">
        <v>1443</v>
      </c>
    </row>
    <row r="72" customFormat="false" ht="21.75" hidden="false" customHeight="true" outlineLevel="0" collapsed="false">
      <c r="B72" s="174" t="s">
        <v>1444</v>
      </c>
      <c r="C72" s="174"/>
      <c r="D72" s="174"/>
      <c r="E72" s="174"/>
      <c r="F72" s="174"/>
      <c r="G72" s="174"/>
    </row>
    <row r="73" customFormat="false" ht="15" hidden="false" customHeight="true" outlineLevel="0" collapsed="false">
      <c r="B73" s="175" t="s">
        <v>1160</v>
      </c>
      <c r="C73" s="176" t="s">
        <v>1445</v>
      </c>
      <c r="D73" s="176"/>
      <c r="E73" s="176"/>
      <c r="F73" s="176"/>
      <c r="G73" s="176"/>
    </row>
    <row r="74" customFormat="false" ht="15" hidden="false" customHeight="true" outlineLevel="0" collapsed="false">
      <c r="B74" s="177" t="s">
        <v>1162</v>
      </c>
      <c r="C74" s="178" t="s">
        <v>1446</v>
      </c>
      <c r="D74" s="178"/>
      <c r="E74" s="178"/>
      <c r="F74" s="178"/>
      <c r="G74" s="178"/>
    </row>
    <row r="75" customFormat="false" ht="24" hidden="false" customHeight="true" outlineLevel="0" collapsed="false">
      <c r="B75" s="8" t="s">
        <v>151</v>
      </c>
      <c r="C75" s="123" t="s">
        <v>835</v>
      </c>
      <c r="D75" s="123" t="s">
        <v>18</v>
      </c>
      <c r="E75" s="123" t="s">
        <v>1164</v>
      </c>
      <c r="F75" s="123" t="s">
        <v>944</v>
      </c>
      <c r="G75" s="123" t="s">
        <v>1165</v>
      </c>
    </row>
    <row r="76" customFormat="false" ht="15" hidden="false" customHeight="false" outlineLevel="0" collapsed="false">
      <c r="B76" s="42" t="n">
        <v>1</v>
      </c>
      <c r="C76" s="124" t="s">
        <v>1447</v>
      </c>
      <c r="D76" s="179" t="s">
        <v>929</v>
      </c>
      <c r="E76" s="180" t="s">
        <v>335</v>
      </c>
      <c r="F76" s="139" t="n">
        <v>1</v>
      </c>
      <c r="G76" s="163" t="s">
        <v>1448</v>
      </c>
    </row>
    <row r="77" customFormat="false" ht="15" hidden="false" customHeight="false" outlineLevel="0" collapsed="false">
      <c r="B77" s="44" t="n">
        <v>5</v>
      </c>
      <c r="C77" s="126" t="s">
        <v>1449</v>
      </c>
      <c r="D77" s="140" t="s">
        <v>1185</v>
      </c>
      <c r="E77" s="181" t="s">
        <v>1325</v>
      </c>
      <c r="F77" s="141" t="n">
        <v>1.2</v>
      </c>
      <c r="G77" s="165" t="s">
        <v>1450</v>
      </c>
    </row>
    <row r="78" customFormat="false" ht="15" hidden="false" customHeight="false" outlineLevel="0" collapsed="false">
      <c r="B78" s="42" t="n">
        <v>11</v>
      </c>
      <c r="C78" s="124" t="s">
        <v>1451</v>
      </c>
      <c r="D78" s="146" t="s">
        <v>1452</v>
      </c>
      <c r="E78" s="182" t="s">
        <v>1178</v>
      </c>
      <c r="F78" s="49" t="s">
        <v>335</v>
      </c>
      <c r="G78" s="163" t="s">
        <v>1453</v>
      </c>
    </row>
    <row r="79" customFormat="false" ht="15" hidden="false" customHeight="false" outlineLevel="0" collapsed="false">
      <c r="B79" s="44" t="n">
        <v>18</v>
      </c>
      <c r="C79" s="126" t="s">
        <v>1454</v>
      </c>
      <c r="D79" s="145" t="s">
        <v>1096</v>
      </c>
      <c r="E79" s="181" t="s">
        <v>1325</v>
      </c>
      <c r="F79" s="141" t="n">
        <v>1</v>
      </c>
      <c r="G79" s="165" t="s">
        <v>1455</v>
      </c>
    </row>
    <row r="80" customFormat="false" ht="15" hidden="false" customHeight="false" outlineLevel="0" collapsed="false">
      <c r="B80" s="42" t="n">
        <v>25</v>
      </c>
      <c r="C80" s="124" t="s">
        <v>1456</v>
      </c>
      <c r="D80" s="148" t="s">
        <v>1194</v>
      </c>
      <c r="E80" s="182" t="s">
        <v>1328</v>
      </c>
      <c r="F80" s="139" t="n">
        <v>2</v>
      </c>
      <c r="G80" s="163" t="s">
        <v>1457</v>
      </c>
    </row>
    <row r="81" customFormat="false" ht="15" hidden="false" customHeight="false" outlineLevel="0" collapsed="false">
      <c r="B81" s="62" t="n">
        <v>33</v>
      </c>
      <c r="C81" s="183" t="s">
        <v>1458</v>
      </c>
      <c r="D81" s="143" t="s">
        <v>1181</v>
      </c>
      <c r="E81" s="181" t="s">
        <v>1328</v>
      </c>
      <c r="F81" s="141" t="n">
        <v>1.5</v>
      </c>
      <c r="G81" s="165" t="s">
        <v>1459</v>
      </c>
    </row>
    <row r="82" customFormat="false" ht="15" hidden="false" customHeight="false" outlineLevel="0" collapsed="false">
      <c r="B82" s="42" t="n">
        <v>42</v>
      </c>
      <c r="C82" s="124" t="s">
        <v>1460</v>
      </c>
      <c r="D82" s="146" t="s">
        <v>1452</v>
      </c>
      <c r="E82" s="182" t="s">
        <v>1283</v>
      </c>
      <c r="F82" s="49" t="s">
        <v>335</v>
      </c>
      <c r="G82" s="163" t="s">
        <v>1461</v>
      </c>
    </row>
    <row r="83" customFormat="false" ht="15" hidden="false" customHeight="false" outlineLevel="0" collapsed="false">
      <c r="B83" s="44" t="n">
        <v>52</v>
      </c>
      <c r="C83" s="126" t="s">
        <v>1462</v>
      </c>
      <c r="D83" s="167" t="s">
        <v>1082</v>
      </c>
      <c r="E83" s="184" t="s">
        <v>335</v>
      </c>
      <c r="F83" s="50" t="s">
        <v>335</v>
      </c>
      <c r="G83" s="165" t="s">
        <v>1463</v>
      </c>
    </row>
    <row r="84" customFormat="false" ht="15" hidden="false" customHeight="false" outlineLevel="0" collapsed="false">
      <c r="B84" s="42" t="n">
        <v>62</v>
      </c>
      <c r="C84" s="124" t="s">
        <v>1464</v>
      </c>
      <c r="D84" s="144" t="s">
        <v>1096</v>
      </c>
      <c r="E84" s="182" t="s">
        <v>1337</v>
      </c>
      <c r="F84" s="139" t="n">
        <v>1.2</v>
      </c>
      <c r="G84" s="163" t="s">
        <v>1465</v>
      </c>
    </row>
    <row r="85" customFormat="false" ht="15" hidden="false" customHeight="false" outlineLevel="0" collapsed="false">
      <c r="B85" s="44" t="n">
        <v>74</v>
      </c>
      <c r="C85" s="126" t="s">
        <v>1466</v>
      </c>
      <c r="D85" s="187" t="s">
        <v>1452</v>
      </c>
      <c r="E85" s="181" t="s">
        <v>1467</v>
      </c>
      <c r="F85" s="50" t="s">
        <v>335</v>
      </c>
      <c r="G85" s="165" t="s">
        <v>1468</v>
      </c>
    </row>
    <row r="86" customFormat="false" ht="15" hidden="false" customHeight="false" outlineLevel="0" collapsed="false">
      <c r="B86" s="42" t="n">
        <v>86</v>
      </c>
      <c r="C86" s="124" t="s">
        <v>1469</v>
      </c>
      <c r="D86" s="168" t="s">
        <v>1082</v>
      </c>
      <c r="E86" s="180" t="s">
        <v>335</v>
      </c>
      <c r="F86" s="49" t="s">
        <v>335</v>
      </c>
      <c r="G86" s="163" t="s">
        <v>1470</v>
      </c>
    </row>
    <row r="87" customFormat="false" ht="15" hidden="false" customHeight="false" outlineLevel="0" collapsed="false">
      <c r="B87" s="44" t="n">
        <v>100</v>
      </c>
      <c r="C87" s="126" t="s">
        <v>1471</v>
      </c>
      <c r="D87" s="151" t="s">
        <v>780</v>
      </c>
      <c r="E87" s="181" t="s">
        <v>1228</v>
      </c>
      <c r="F87" s="50" t="s">
        <v>335</v>
      </c>
      <c r="G87" s="165" t="s">
        <v>1472</v>
      </c>
    </row>
  </sheetData>
  <mergeCells count="17">
    <mergeCell ref="A1:G1"/>
    <mergeCell ref="A2:G2"/>
    <mergeCell ref="B4:G4"/>
    <mergeCell ref="C5:G5"/>
    <mergeCell ref="C6:G6"/>
    <mergeCell ref="B21:G21"/>
    <mergeCell ref="C22:G22"/>
    <mergeCell ref="C23:G23"/>
    <mergeCell ref="B38:G38"/>
    <mergeCell ref="C39:G39"/>
    <mergeCell ref="C40:G40"/>
    <mergeCell ref="B55:G55"/>
    <mergeCell ref="C56:G56"/>
    <mergeCell ref="C57:G57"/>
    <mergeCell ref="B72:G72"/>
    <mergeCell ref="C73:G73"/>
    <mergeCell ref="C74:G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6CD4"/>
    <pageSetUpPr fitToPage="false"/>
  </sheetPr>
  <dimension ref="A1:G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46"/>
  </cols>
  <sheetData>
    <row r="1" customFormat="false" ht="33.75" hidden="false" customHeight="true" outlineLevel="0" collapsed="false">
      <c r="A1" s="2" t="s">
        <v>1473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1474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B4" s="174" t="s">
        <v>1475</v>
      </c>
      <c r="C4" s="174"/>
      <c r="D4" s="174"/>
      <c r="E4" s="174"/>
      <c r="F4" s="174"/>
      <c r="G4" s="174"/>
    </row>
    <row r="5" customFormat="false" ht="15" hidden="false" customHeight="true" outlineLevel="0" collapsed="false">
      <c r="B5" s="175" t="s">
        <v>1160</v>
      </c>
      <c r="C5" s="176" t="s">
        <v>1476</v>
      </c>
      <c r="D5" s="176"/>
      <c r="E5" s="176"/>
      <c r="F5" s="176"/>
      <c r="G5" s="176"/>
    </row>
    <row r="6" customFormat="false" ht="15" hidden="false" customHeight="true" outlineLevel="0" collapsed="false">
      <c r="B6" s="177" t="s">
        <v>1162</v>
      </c>
      <c r="C6" s="178" t="s">
        <v>1477</v>
      </c>
      <c r="D6" s="178"/>
      <c r="E6" s="178"/>
      <c r="F6" s="178"/>
      <c r="G6" s="178"/>
    </row>
    <row r="7" customFormat="false" ht="24" hidden="false" customHeight="true" outlineLevel="0" collapsed="false">
      <c r="B7" s="8" t="s">
        <v>151</v>
      </c>
      <c r="C7" s="123" t="s">
        <v>835</v>
      </c>
      <c r="D7" s="123" t="s">
        <v>18</v>
      </c>
      <c r="E7" s="123" t="s">
        <v>1164</v>
      </c>
      <c r="F7" s="123" t="s">
        <v>944</v>
      </c>
      <c r="G7" s="123" t="s">
        <v>1165</v>
      </c>
    </row>
    <row r="8" customFormat="false" ht="15" hidden="false" customHeight="false" outlineLevel="0" collapsed="false">
      <c r="B8" s="42" t="n">
        <v>1</v>
      </c>
      <c r="C8" s="124" t="s">
        <v>1478</v>
      </c>
      <c r="D8" s="179" t="s">
        <v>929</v>
      </c>
      <c r="E8" s="180" t="s">
        <v>335</v>
      </c>
      <c r="F8" s="139" t="n">
        <v>1.3</v>
      </c>
      <c r="G8" s="163" t="s">
        <v>1479</v>
      </c>
    </row>
    <row r="9" customFormat="false" ht="15" hidden="false" customHeight="false" outlineLevel="0" collapsed="false">
      <c r="B9" s="44" t="n">
        <v>6</v>
      </c>
      <c r="C9" s="126" t="s">
        <v>1480</v>
      </c>
      <c r="D9" s="147" t="s">
        <v>1194</v>
      </c>
      <c r="E9" s="181" t="s">
        <v>1394</v>
      </c>
      <c r="F9" s="141" t="n">
        <v>1.8</v>
      </c>
      <c r="G9" s="165" t="s">
        <v>1481</v>
      </c>
    </row>
    <row r="10" customFormat="false" ht="15" hidden="false" customHeight="false" outlineLevel="0" collapsed="false">
      <c r="B10" s="42" t="n">
        <v>12</v>
      </c>
      <c r="C10" s="124" t="s">
        <v>1482</v>
      </c>
      <c r="D10" s="148" t="s">
        <v>1194</v>
      </c>
      <c r="E10" s="182" t="s">
        <v>1397</v>
      </c>
      <c r="F10" s="139" t="n">
        <v>2.2</v>
      </c>
      <c r="G10" s="163" t="s">
        <v>1483</v>
      </c>
    </row>
    <row r="11" customFormat="false" ht="15" hidden="false" customHeight="false" outlineLevel="0" collapsed="false">
      <c r="B11" s="44" t="n">
        <v>20</v>
      </c>
      <c r="C11" s="126" t="s">
        <v>1484</v>
      </c>
      <c r="D11" s="147" t="s">
        <v>1194</v>
      </c>
      <c r="E11" s="181" t="s">
        <v>1485</v>
      </c>
      <c r="F11" s="141" t="n">
        <v>1.5</v>
      </c>
      <c r="G11" s="165" t="s">
        <v>1486</v>
      </c>
    </row>
    <row r="12" customFormat="false" ht="15" hidden="false" customHeight="false" outlineLevel="0" collapsed="false">
      <c r="B12" s="142" t="n">
        <v>30</v>
      </c>
      <c r="C12" s="129" t="s">
        <v>1487</v>
      </c>
      <c r="D12" s="148" t="s">
        <v>1194</v>
      </c>
      <c r="E12" s="182" t="s">
        <v>1488</v>
      </c>
      <c r="F12" s="139" t="n">
        <v>3.5</v>
      </c>
      <c r="G12" s="163" t="s">
        <v>1489</v>
      </c>
    </row>
    <row r="13" customFormat="false" ht="15" hidden="false" customHeight="false" outlineLevel="0" collapsed="false">
      <c r="B13" s="62" t="n">
        <v>40</v>
      </c>
      <c r="C13" s="183" t="s">
        <v>1490</v>
      </c>
      <c r="D13" s="167" t="s">
        <v>1082</v>
      </c>
      <c r="E13" s="184" t="s">
        <v>335</v>
      </c>
      <c r="F13" s="50" t="s">
        <v>335</v>
      </c>
      <c r="G13" s="165" t="s">
        <v>1491</v>
      </c>
    </row>
    <row r="14" customFormat="false" ht="15" hidden="false" customHeight="false" outlineLevel="0" collapsed="false">
      <c r="B14" s="42" t="n">
        <v>55</v>
      </c>
      <c r="C14" s="124" t="s">
        <v>1492</v>
      </c>
      <c r="D14" s="148" t="s">
        <v>1194</v>
      </c>
      <c r="E14" s="182" t="s">
        <v>1493</v>
      </c>
      <c r="F14" s="188" t="s">
        <v>1494</v>
      </c>
      <c r="G14" s="163" t="s">
        <v>1495</v>
      </c>
    </row>
    <row r="15" customFormat="false" ht="15" hidden="false" customHeight="false" outlineLevel="0" collapsed="false">
      <c r="B15" s="44" t="n">
        <v>70</v>
      </c>
      <c r="C15" s="126" t="s">
        <v>1496</v>
      </c>
      <c r="D15" s="147" t="s">
        <v>1194</v>
      </c>
      <c r="E15" s="181" t="s">
        <v>1497</v>
      </c>
      <c r="F15" s="141" t="n">
        <v>0.9</v>
      </c>
      <c r="G15" s="165" t="s">
        <v>1498</v>
      </c>
    </row>
    <row r="16" customFormat="false" ht="15" hidden="false" customHeight="false" outlineLevel="0" collapsed="false">
      <c r="B16" s="42" t="n">
        <v>85</v>
      </c>
      <c r="C16" s="124" t="s">
        <v>1499</v>
      </c>
      <c r="D16" s="168" t="s">
        <v>1082</v>
      </c>
      <c r="E16" s="180" t="s">
        <v>335</v>
      </c>
      <c r="F16" s="49" t="s">
        <v>335</v>
      </c>
      <c r="G16" s="163" t="s">
        <v>1500</v>
      </c>
    </row>
    <row r="17" customFormat="false" ht="15" hidden="false" customHeight="false" outlineLevel="0" collapsed="false">
      <c r="B17" s="44" t="n">
        <v>100</v>
      </c>
      <c r="C17" s="126" t="s">
        <v>1501</v>
      </c>
      <c r="D17" s="151" t="s">
        <v>780</v>
      </c>
      <c r="E17" s="181" t="s">
        <v>1288</v>
      </c>
      <c r="F17" s="141" t="n">
        <v>6</v>
      </c>
      <c r="G17" s="165" t="s">
        <v>1502</v>
      </c>
    </row>
    <row r="19" customFormat="false" ht="21.75" hidden="false" customHeight="true" outlineLevel="0" collapsed="false">
      <c r="B19" s="174" t="s">
        <v>1503</v>
      </c>
      <c r="C19" s="174"/>
      <c r="D19" s="174"/>
      <c r="E19" s="174"/>
      <c r="F19" s="174"/>
      <c r="G19" s="174"/>
    </row>
    <row r="20" customFormat="false" ht="15" hidden="false" customHeight="true" outlineLevel="0" collapsed="false">
      <c r="B20" s="175" t="s">
        <v>1160</v>
      </c>
      <c r="C20" s="176" t="s">
        <v>1504</v>
      </c>
      <c r="D20" s="176"/>
      <c r="E20" s="176"/>
      <c r="F20" s="176"/>
      <c r="G20" s="176"/>
    </row>
    <row r="21" customFormat="false" ht="15" hidden="false" customHeight="true" outlineLevel="0" collapsed="false">
      <c r="B21" s="177" t="s">
        <v>1162</v>
      </c>
      <c r="C21" s="178" t="s">
        <v>1505</v>
      </c>
      <c r="D21" s="178"/>
      <c r="E21" s="178"/>
      <c r="F21" s="178"/>
      <c r="G21" s="178"/>
    </row>
    <row r="22" customFormat="false" ht="24" hidden="false" customHeight="true" outlineLevel="0" collapsed="false">
      <c r="B22" s="8" t="s">
        <v>151</v>
      </c>
      <c r="C22" s="123" t="s">
        <v>835</v>
      </c>
      <c r="D22" s="123" t="s">
        <v>18</v>
      </c>
      <c r="E22" s="123" t="s">
        <v>1164</v>
      </c>
      <c r="F22" s="123" t="s">
        <v>944</v>
      </c>
      <c r="G22" s="123" t="s">
        <v>1165</v>
      </c>
    </row>
    <row r="23" customFormat="false" ht="15" hidden="false" customHeight="false" outlineLevel="0" collapsed="false">
      <c r="B23" s="44" t="n">
        <v>1</v>
      </c>
      <c r="C23" s="126" t="s">
        <v>1506</v>
      </c>
      <c r="D23" s="186" t="s">
        <v>929</v>
      </c>
      <c r="E23" s="184" t="s">
        <v>335</v>
      </c>
      <c r="F23" s="141" t="n">
        <v>1.1</v>
      </c>
      <c r="G23" s="165" t="s">
        <v>1507</v>
      </c>
    </row>
    <row r="24" customFormat="false" ht="15" hidden="false" customHeight="false" outlineLevel="0" collapsed="false">
      <c r="B24" s="42" t="n">
        <v>6</v>
      </c>
      <c r="C24" s="124" t="s">
        <v>1508</v>
      </c>
      <c r="D24" s="148" t="s">
        <v>1194</v>
      </c>
      <c r="E24" s="182" t="s">
        <v>1394</v>
      </c>
      <c r="F24" s="139" t="n">
        <v>1.5</v>
      </c>
      <c r="G24" s="163" t="s">
        <v>1509</v>
      </c>
    </row>
    <row r="25" customFormat="false" ht="15" hidden="false" customHeight="false" outlineLevel="0" collapsed="false">
      <c r="B25" s="44" t="n">
        <v>12</v>
      </c>
      <c r="C25" s="126" t="s">
        <v>602</v>
      </c>
      <c r="D25" s="145" t="s">
        <v>1096</v>
      </c>
      <c r="E25" s="181" t="s">
        <v>1397</v>
      </c>
      <c r="F25" s="141" t="n">
        <v>1</v>
      </c>
      <c r="G25" s="165" t="s">
        <v>1510</v>
      </c>
    </row>
    <row r="26" customFormat="false" ht="15" hidden="false" customHeight="false" outlineLevel="0" collapsed="false">
      <c r="B26" s="42" t="n">
        <v>20</v>
      </c>
      <c r="C26" s="124" t="s">
        <v>884</v>
      </c>
      <c r="D26" s="148" t="s">
        <v>1194</v>
      </c>
      <c r="E26" s="182" t="s">
        <v>1511</v>
      </c>
      <c r="F26" s="188" t="s">
        <v>1512</v>
      </c>
      <c r="G26" s="163" t="s">
        <v>1513</v>
      </c>
    </row>
    <row r="27" customFormat="false" ht="15" hidden="false" customHeight="false" outlineLevel="0" collapsed="false">
      <c r="B27" s="62" t="n">
        <v>30</v>
      </c>
      <c r="C27" s="183" t="s">
        <v>1514</v>
      </c>
      <c r="D27" s="145" t="s">
        <v>1096</v>
      </c>
      <c r="E27" s="181" t="s">
        <v>1400</v>
      </c>
      <c r="F27" s="50" t="s">
        <v>335</v>
      </c>
      <c r="G27" s="165" t="s">
        <v>1515</v>
      </c>
    </row>
    <row r="28" customFormat="false" ht="15" hidden="false" customHeight="false" outlineLevel="0" collapsed="false">
      <c r="B28" s="142" t="n">
        <v>40</v>
      </c>
      <c r="C28" s="129" t="s">
        <v>1516</v>
      </c>
      <c r="D28" s="168" t="s">
        <v>1082</v>
      </c>
      <c r="E28" s="180" t="s">
        <v>335</v>
      </c>
      <c r="F28" s="49" t="s">
        <v>335</v>
      </c>
      <c r="G28" s="163" t="s">
        <v>1517</v>
      </c>
    </row>
    <row r="29" customFormat="false" ht="15" hidden="false" customHeight="false" outlineLevel="0" collapsed="false">
      <c r="B29" s="44" t="n">
        <v>55</v>
      </c>
      <c r="C29" s="126" t="s">
        <v>1518</v>
      </c>
      <c r="D29" s="147" t="s">
        <v>1194</v>
      </c>
      <c r="E29" s="181" t="s">
        <v>1493</v>
      </c>
      <c r="F29" s="141" t="n">
        <v>2</v>
      </c>
      <c r="G29" s="165" t="s">
        <v>1519</v>
      </c>
    </row>
    <row r="30" customFormat="false" ht="15" hidden="false" customHeight="false" outlineLevel="0" collapsed="false">
      <c r="B30" s="42" t="n">
        <v>70</v>
      </c>
      <c r="C30" s="124" t="s">
        <v>1520</v>
      </c>
      <c r="D30" s="138" t="s">
        <v>1185</v>
      </c>
      <c r="E30" s="182" t="s">
        <v>1488</v>
      </c>
      <c r="F30" s="139" t="n">
        <v>3</v>
      </c>
      <c r="G30" s="163" t="s">
        <v>1521</v>
      </c>
    </row>
    <row r="31" customFormat="false" ht="15" hidden="false" customHeight="false" outlineLevel="0" collapsed="false">
      <c r="B31" s="44" t="n">
        <v>85</v>
      </c>
      <c r="C31" s="126" t="s">
        <v>1522</v>
      </c>
      <c r="D31" s="167" t="s">
        <v>1082</v>
      </c>
      <c r="E31" s="184" t="s">
        <v>335</v>
      </c>
      <c r="F31" s="50" t="s">
        <v>335</v>
      </c>
      <c r="G31" s="165" t="s">
        <v>1523</v>
      </c>
    </row>
    <row r="32" customFormat="false" ht="15" hidden="false" customHeight="false" outlineLevel="0" collapsed="false">
      <c r="B32" s="42" t="n">
        <v>100</v>
      </c>
      <c r="C32" s="124" t="s">
        <v>1524</v>
      </c>
      <c r="D32" s="152" t="s">
        <v>780</v>
      </c>
      <c r="E32" s="182" t="s">
        <v>1379</v>
      </c>
      <c r="F32" s="139" t="n">
        <v>4</v>
      </c>
      <c r="G32" s="163" t="s">
        <v>1525</v>
      </c>
    </row>
    <row r="34" customFormat="false" ht="21.75" hidden="false" customHeight="true" outlineLevel="0" collapsed="false">
      <c r="B34" s="174" t="s">
        <v>1526</v>
      </c>
      <c r="C34" s="174"/>
      <c r="D34" s="174"/>
      <c r="E34" s="174"/>
      <c r="F34" s="174"/>
      <c r="G34" s="174"/>
    </row>
    <row r="35" customFormat="false" ht="15" hidden="false" customHeight="true" outlineLevel="0" collapsed="false">
      <c r="B35" s="175" t="s">
        <v>1160</v>
      </c>
      <c r="C35" s="176" t="s">
        <v>1527</v>
      </c>
      <c r="D35" s="176"/>
      <c r="E35" s="176"/>
      <c r="F35" s="176"/>
      <c r="G35" s="176"/>
    </row>
    <row r="36" customFormat="false" ht="15" hidden="false" customHeight="true" outlineLevel="0" collapsed="false">
      <c r="B36" s="177" t="s">
        <v>1162</v>
      </c>
      <c r="C36" s="178" t="s">
        <v>1528</v>
      </c>
      <c r="D36" s="178"/>
      <c r="E36" s="178"/>
      <c r="F36" s="178"/>
      <c r="G36" s="178"/>
    </row>
    <row r="37" customFormat="false" ht="24" hidden="false" customHeight="true" outlineLevel="0" collapsed="false">
      <c r="B37" s="8" t="s">
        <v>151</v>
      </c>
      <c r="C37" s="123" t="s">
        <v>835</v>
      </c>
      <c r="D37" s="123" t="s">
        <v>18</v>
      </c>
      <c r="E37" s="123" t="s">
        <v>1164</v>
      </c>
      <c r="F37" s="123" t="s">
        <v>944</v>
      </c>
      <c r="G37" s="123" t="s">
        <v>1165</v>
      </c>
    </row>
    <row r="38" customFormat="false" ht="15" hidden="false" customHeight="false" outlineLevel="0" collapsed="false">
      <c r="B38" s="42" t="n">
        <v>1</v>
      </c>
      <c r="C38" s="124" t="s">
        <v>1529</v>
      </c>
      <c r="D38" s="179" t="s">
        <v>929</v>
      </c>
      <c r="E38" s="180" t="s">
        <v>335</v>
      </c>
      <c r="F38" s="139" t="n">
        <v>1.1</v>
      </c>
      <c r="G38" s="163" t="s">
        <v>1530</v>
      </c>
    </row>
    <row r="39" customFormat="false" ht="15" hidden="false" customHeight="false" outlineLevel="0" collapsed="false">
      <c r="B39" s="44" t="n">
        <v>6</v>
      </c>
      <c r="C39" s="126" t="s">
        <v>1531</v>
      </c>
      <c r="D39" s="147" t="s">
        <v>1194</v>
      </c>
      <c r="E39" s="181" t="s">
        <v>1394</v>
      </c>
      <c r="F39" s="141" t="n">
        <v>1.4</v>
      </c>
      <c r="G39" s="165" t="s">
        <v>1532</v>
      </c>
    </row>
    <row r="40" customFormat="false" ht="15" hidden="false" customHeight="false" outlineLevel="0" collapsed="false">
      <c r="B40" s="42" t="n">
        <v>12</v>
      </c>
      <c r="C40" s="124" t="s">
        <v>842</v>
      </c>
      <c r="D40" s="144" t="s">
        <v>1096</v>
      </c>
      <c r="E40" s="182" t="s">
        <v>1391</v>
      </c>
      <c r="F40" s="139" t="n">
        <v>0.8</v>
      </c>
      <c r="G40" s="163" t="s">
        <v>1533</v>
      </c>
    </row>
    <row r="41" customFormat="false" ht="15" hidden="false" customHeight="false" outlineLevel="0" collapsed="false">
      <c r="B41" s="44" t="n">
        <v>20</v>
      </c>
      <c r="C41" s="126" t="s">
        <v>1534</v>
      </c>
      <c r="D41" s="140" t="s">
        <v>1185</v>
      </c>
      <c r="E41" s="181" t="s">
        <v>1397</v>
      </c>
      <c r="F41" s="141" t="n">
        <v>2</v>
      </c>
      <c r="G41" s="165" t="s">
        <v>1535</v>
      </c>
    </row>
    <row r="42" customFormat="false" ht="15" hidden="false" customHeight="false" outlineLevel="0" collapsed="false">
      <c r="B42" s="142" t="n">
        <v>30</v>
      </c>
      <c r="C42" s="129" t="s">
        <v>1536</v>
      </c>
      <c r="D42" s="148" t="s">
        <v>1194</v>
      </c>
      <c r="E42" s="182" t="s">
        <v>1488</v>
      </c>
      <c r="F42" s="139" t="n">
        <v>1.2</v>
      </c>
      <c r="G42" s="163" t="s">
        <v>1537</v>
      </c>
    </row>
    <row r="43" customFormat="false" ht="15" hidden="false" customHeight="false" outlineLevel="0" collapsed="false">
      <c r="B43" s="62" t="n">
        <v>40</v>
      </c>
      <c r="C43" s="183" t="s">
        <v>1538</v>
      </c>
      <c r="D43" s="167" t="s">
        <v>1082</v>
      </c>
      <c r="E43" s="184" t="s">
        <v>335</v>
      </c>
      <c r="F43" s="50" t="s">
        <v>335</v>
      </c>
      <c r="G43" s="165" t="s">
        <v>1539</v>
      </c>
    </row>
    <row r="44" customFormat="false" ht="15" hidden="false" customHeight="false" outlineLevel="0" collapsed="false">
      <c r="B44" s="42" t="n">
        <v>55</v>
      </c>
      <c r="C44" s="124" t="s">
        <v>1540</v>
      </c>
      <c r="D44" s="148" t="s">
        <v>1194</v>
      </c>
      <c r="E44" s="182" t="s">
        <v>1511</v>
      </c>
      <c r="F44" s="139" t="n">
        <v>2.2</v>
      </c>
      <c r="G44" s="163" t="s">
        <v>1541</v>
      </c>
    </row>
    <row r="45" customFormat="false" ht="15" hidden="false" customHeight="false" outlineLevel="0" collapsed="false">
      <c r="B45" s="44" t="n">
        <v>70</v>
      </c>
      <c r="C45" s="126" t="s">
        <v>1542</v>
      </c>
      <c r="D45" s="147" t="s">
        <v>1194</v>
      </c>
      <c r="E45" s="181" t="s">
        <v>1485</v>
      </c>
      <c r="F45" s="189" t="s">
        <v>1543</v>
      </c>
      <c r="G45" s="165" t="s">
        <v>1544</v>
      </c>
    </row>
    <row r="46" customFormat="false" ht="15" hidden="false" customHeight="false" outlineLevel="0" collapsed="false">
      <c r="B46" s="42" t="n">
        <v>85</v>
      </c>
      <c r="C46" s="124" t="s">
        <v>1545</v>
      </c>
      <c r="D46" s="168" t="s">
        <v>1082</v>
      </c>
      <c r="E46" s="180" t="s">
        <v>335</v>
      </c>
      <c r="F46" s="49" t="s">
        <v>335</v>
      </c>
      <c r="G46" s="163" t="s">
        <v>1546</v>
      </c>
    </row>
    <row r="47" customFormat="false" ht="15" hidden="false" customHeight="false" outlineLevel="0" collapsed="false">
      <c r="B47" s="44" t="n">
        <v>100</v>
      </c>
      <c r="C47" s="126" t="s">
        <v>1547</v>
      </c>
      <c r="D47" s="151" t="s">
        <v>780</v>
      </c>
      <c r="E47" s="181" t="s">
        <v>1288</v>
      </c>
      <c r="F47" s="141" t="n">
        <v>5.5</v>
      </c>
      <c r="G47" s="165" t="s">
        <v>1548</v>
      </c>
    </row>
    <row r="49" customFormat="false" ht="21.75" hidden="false" customHeight="true" outlineLevel="0" collapsed="false">
      <c r="B49" s="174" t="s">
        <v>1549</v>
      </c>
      <c r="C49" s="174"/>
      <c r="D49" s="174"/>
      <c r="E49" s="174"/>
      <c r="F49" s="174"/>
      <c r="G49" s="174"/>
    </row>
    <row r="50" customFormat="false" ht="15" hidden="false" customHeight="true" outlineLevel="0" collapsed="false">
      <c r="B50" s="175" t="s">
        <v>1160</v>
      </c>
      <c r="C50" s="176" t="s">
        <v>1550</v>
      </c>
      <c r="D50" s="176"/>
      <c r="E50" s="176"/>
      <c r="F50" s="176"/>
      <c r="G50" s="176"/>
    </row>
    <row r="51" customFormat="false" ht="15" hidden="false" customHeight="true" outlineLevel="0" collapsed="false">
      <c r="B51" s="177" t="s">
        <v>1162</v>
      </c>
      <c r="C51" s="178" t="s">
        <v>1551</v>
      </c>
      <c r="D51" s="178"/>
      <c r="E51" s="178"/>
      <c r="F51" s="178"/>
      <c r="G51" s="178"/>
    </row>
    <row r="52" customFormat="false" ht="24" hidden="false" customHeight="true" outlineLevel="0" collapsed="false">
      <c r="B52" s="8" t="s">
        <v>151</v>
      </c>
      <c r="C52" s="123" t="s">
        <v>835</v>
      </c>
      <c r="D52" s="123" t="s">
        <v>18</v>
      </c>
      <c r="E52" s="123" t="s">
        <v>1164</v>
      </c>
      <c r="F52" s="123" t="s">
        <v>944</v>
      </c>
      <c r="G52" s="123" t="s">
        <v>1165</v>
      </c>
    </row>
    <row r="53" customFormat="false" ht="15" hidden="false" customHeight="false" outlineLevel="0" collapsed="false">
      <c r="B53" s="44" t="n">
        <v>1</v>
      </c>
      <c r="C53" s="126" t="s">
        <v>1552</v>
      </c>
      <c r="D53" s="186" t="s">
        <v>929</v>
      </c>
      <c r="E53" s="184" t="s">
        <v>335</v>
      </c>
      <c r="F53" s="141" t="n">
        <v>1</v>
      </c>
      <c r="G53" s="165" t="s">
        <v>1553</v>
      </c>
    </row>
    <row r="54" customFormat="false" ht="15" hidden="false" customHeight="false" outlineLevel="0" collapsed="false">
      <c r="B54" s="42" t="n">
        <v>6</v>
      </c>
      <c r="C54" s="124" t="s">
        <v>1554</v>
      </c>
      <c r="D54" s="148" t="s">
        <v>1194</v>
      </c>
      <c r="E54" s="182" t="s">
        <v>1394</v>
      </c>
      <c r="F54" s="139" t="n">
        <v>1.5</v>
      </c>
      <c r="G54" s="163" t="s">
        <v>1555</v>
      </c>
    </row>
    <row r="55" customFormat="false" ht="15" hidden="false" customHeight="false" outlineLevel="0" collapsed="false">
      <c r="B55" s="44" t="n">
        <v>12</v>
      </c>
      <c r="C55" s="126" t="s">
        <v>1556</v>
      </c>
      <c r="D55" s="149" t="s">
        <v>771</v>
      </c>
      <c r="E55" s="181" t="s">
        <v>1397</v>
      </c>
      <c r="F55" s="50" t="s">
        <v>335</v>
      </c>
      <c r="G55" s="165" t="s">
        <v>1557</v>
      </c>
    </row>
    <row r="56" customFormat="false" ht="15" hidden="false" customHeight="false" outlineLevel="0" collapsed="false">
      <c r="B56" s="42" t="n">
        <v>20</v>
      </c>
      <c r="C56" s="124" t="s">
        <v>1558</v>
      </c>
      <c r="D56" s="148" t="s">
        <v>1194</v>
      </c>
      <c r="E56" s="182" t="s">
        <v>1400</v>
      </c>
      <c r="F56" s="139" t="n">
        <v>1.4</v>
      </c>
      <c r="G56" s="163" t="s">
        <v>1559</v>
      </c>
    </row>
    <row r="57" customFormat="false" ht="15" hidden="false" customHeight="false" outlineLevel="0" collapsed="false">
      <c r="B57" s="62" t="n">
        <v>30</v>
      </c>
      <c r="C57" s="183" t="s">
        <v>628</v>
      </c>
      <c r="D57" s="147" t="s">
        <v>1194</v>
      </c>
      <c r="E57" s="181" t="s">
        <v>1511</v>
      </c>
      <c r="F57" s="189" t="s">
        <v>1494</v>
      </c>
      <c r="G57" s="165" t="s">
        <v>1560</v>
      </c>
    </row>
    <row r="58" customFormat="false" ht="15" hidden="false" customHeight="false" outlineLevel="0" collapsed="false">
      <c r="B58" s="142" t="n">
        <v>40</v>
      </c>
      <c r="C58" s="129" t="s">
        <v>1561</v>
      </c>
      <c r="D58" s="168" t="s">
        <v>1082</v>
      </c>
      <c r="E58" s="180" t="s">
        <v>335</v>
      </c>
      <c r="F58" s="49" t="s">
        <v>335</v>
      </c>
      <c r="G58" s="163" t="s">
        <v>1562</v>
      </c>
    </row>
    <row r="59" customFormat="false" ht="15" hidden="false" customHeight="false" outlineLevel="0" collapsed="false">
      <c r="B59" s="44" t="n">
        <v>55</v>
      </c>
      <c r="C59" s="126" t="s">
        <v>1563</v>
      </c>
      <c r="D59" s="149" t="s">
        <v>771</v>
      </c>
      <c r="E59" s="181" t="s">
        <v>1488</v>
      </c>
      <c r="F59" s="50" t="s">
        <v>335</v>
      </c>
      <c r="G59" s="165" t="s">
        <v>1564</v>
      </c>
    </row>
    <row r="60" customFormat="false" ht="15" hidden="false" customHeight="false" outlineLevel="0" collapsed="false">
      <c r="B60" s="42" t="n">
        <v>70</v>
      </c>
      <c r="C60" s="124" t="s">
        <v>1565</v>
      </c>
      <c r="D60" s="148" t="s">
        <v>1194</v>
      </c>
      <c r="E60" s="182" t="s">
        <v>1497</v>
      </c>
      <c r="F60" s="139" t="n">
        <v>2.5</v>
      </c>
      <c r="G60" s="163" t="s">
        <v>1566</v>
      </c>
    </row>
    <row r="61" customFormat="false" ht="15" hidden="false" customHeight="false" outlineLevel="0" collapsed="false">
      <c r="B61" s="44" t="n">
        <v>85</v>
      </c>
      <c r="C61" s="126" t="s">
        <v>1567</v>
      </c>
      <c r="D61" s="167" t="s">
        <v>1082</v>
      </c>
      <c r="E61" s="184" t="s">
        <v>335</v>
      </c>
      <c r="F61" s="50" t="s">
        <v>335</v>
      </c>
      <c r="G61" s="165" t="s">
        <v>1568</v>
      </c>
    </row>
    <row r="62" customFormat="false" ht="15" hidden="false" customHeight="false" outlineLevel="0" collapsed="false">
      <c r="B62" s="42" t="n">
        <v>100</v>
      </c>
      <c r="C62" s="124" t="s">
        <v>1569</v>
      </c>
      <c r="D62" s="152" t="s">
        <v>780</v>
      </c>
      <c r="E62" s="182" t="s">
        <v>1379</v>
      </c>
      <c r="F62" s="188" t="s">
        <v>1570</v>
      </c>
      <c r="G62" s="163" t="s">
        <v>1571</v>
      </c>
    </row>
    <row r="64" customFormat="false" ht="21.75" hidden="false" customHeight="true" outlineLevel="0" collapsed="false">
      <c r="B64" s="174" t="s">
        <v>1572</v>
      </c>
      <c r="C64" s="174"/>
      <c r="D64" s="174"/>
      <c r="E64" s="174"/>
      <c r="F64" s="174"/>
      <c r="G64" s="174"/>
    </row>
    <row r="65" customFormat="false" ht="15" hidden="false" customHeight="true" outlineLevel="0" collapsed="false">
      <c r="B65" s="175" t="s">
        <v>1160</v>
      </c>
      <c r="C65" s="176" t="s">
        <v>1573</v>
      </c>
      <c r="D65" s="176"/>
      <c r="E65" s="176"/>
      <c r="F65" s="176"/>
      <c r="G65" s="176"/>
    </row>
    <row r="66" customFormat="false" ht="15" hidden="false" customHeight="true" outlineLevel="0" collapsed="false">
      <c r="B66" s="177" t="s">
        <v>1162</v>
      </c>
      <c r="C66" s="178" t="s">
        <v>1574</v>
      </c>
      <c r="D66" s="178"/>
      <c r="E66" s="178"/>
      <c r="F66" s="178"/>
      <c r="G66" s="178"/>
    </row>
    <row r="67" customFormat="false" ht="24" hidden="false" customHeight="true" outlineLevel="0" collapsed="false">
      <c r="B67" s="8" t="s">
        <v>151</v>
      </c>
      <c r="C67" s="123" t="s">
        <v>835</v>
      </c>
      <c r="D67" s="123" t="s">
        <v>18</v>
      </c>
      <c r="E67" s="123" t="s">
        <v>1164</v>
      </c>
      <c r="F67" s="123" t="s">
        <v>944</v>
      </c>
      <c r="G67" s="123" t="s">
        <v>1165</v>
      </c>
    </row>
    <row r="68" customFormat="false" ht="15" hidden="false" customHeight="false" outlineLevel="0" collapsed="false">
      <c r="B68" s="42" t="n">
        <v>1</v>
      </c>
      <c r="C68" s="124" t="s">
        <v>1575</v>
      </c>
      <c r="D68" s="179" t="s">
        <v>929</v>
      </c>
      <c r="E68" s="180" t="s">
        <v>335</v>
      </c>
      <c r="F68" s="139" t="n">
        <v>1</v>
      </c>
      <c r="G68" s="163" t="s">
        <v>1576</v>
      </c>
    </row>
    <row r="69" customFormat="false" ht="15" hidden="false" customHeight="false" outlineLevel="0" collapsed="false">
      <c r="B69" s="44" t="n">
        <v>6</v>
      </c>
      <c r="C69" s="126" t="s">
        <v>1577</v>
      </c>
      <c r="D69" s="187" t="s">
        <v>767</v>
      </c>
      <c r="E69" s="181" t="s">
        <v>1268</v>
      </c>
      <c r="F69" s="50" t="s">
        <v>335</v>
      </c>
      <c r="G69" s="165" t="s">
        <v>1578</v>
      </c>
    </row>
    <row r="70" customFormat="false" ht="15" hidden="false" customHeight="false" outlineLevel="0" collapsed="false">
      <c r="B70" s="42" t="n">
        <v>12</v>
      </c>
      <c r="C70" s="124" t="s">
        <v>1579</v>
      </c>
      <c r="D70" s="144" t="s">
        <v>1096</v>
      </c>
      <c r="E70" s="182" t="s">
        <v>1394</v>
      </c>
      <c r="F70" s="139" t="n">
        <v>1.2</v>
      </c>
      <c r="G70" s="163" t="s">
        <v>1580</v>
      </c>
    </row>
    <row r="71" customFormat="false" ht="15" hidden="false" customHeight="false" outlineLevel="0" collapsed="false">
      <c r="B71" s="44" t="n">
        <v>20</v>
      </c>
      <c r="C71" s="126" t="s">
        <v>1581</v>
      </c>
      <c r="D71" s="147" t="s">
        <v>1194</v>
      </c>
      <c r="E71" s="181" t="s">
        <v>1400</v>
      </c>
      <c r="F71" s="189" t="s">
        <v>1494</v>
      </c>
      <c r="G71" s="165" t="s">
        <v>1582</v>
      </c>
    </row>
    <row r="72" customFormat="false" ht="15" hidden="false" customHeight="false" outlineLevel="0" collapsed="false">
      <c r="B72" s="142" t="n">
        <v>30</v>
      </c>
      <c r="C72" s="129" t="s">
        <v>1583</v>
      </c>
      <c r="D72" s="148" t="s">
        <v>1194</v>
      </c>
      <c r="E72" s="182" t="s">
        <v>1511</v>
      </c>
      <c r="F72" s="188" t="s">
        <v>1570</v>
      </c>
      <c r="G72" s="163" t="s">
        <v>1584</v>
      </c>
    </row>
    <row r="73" customFormat="false" ht="15" hidden="false" customHeight="false" outlineLevel="0" collapsed="false">
      <c r="B73" s="62" t="n">
        <v>40</v>
      </c>
      <c r="C73" s="183" t="s">
        <v>1585</v>
      </c>
      <c r="D73" s="167" t="s">
        <v>1082</v>
      </c>
      <c r="E73" s="184" t="s">
        <v>335</v>
      </c>
      <c r="F73" s="50" t="s">
        <v>335</v>
      </c>
      <c r="G73" s="165" t="s">
        <v>1586</v>
      </c>
    </row>
    <row r="74" customFormat="false" ht="15" hidden="false" customHeight="false" outlineLevel="0" collapsed="false">
      <c r="B74" s="42" t="n">
        <v>55</v>
      </c>
      <c r="C74" s="124" t="s">
        <v>1587</v>
      </c>
      <c r="D74" s="148" t="s">
        <v>1194</v>
      </c>
      <c r="E74" s="182" t="s">
        <v>1488</v>
      </c>
      <c r="F74" s="139" t="n">
        <v>1.5</v>
      </c>
      <c r="G74" s="163" t="s">
        <v>1588</v>
      </c>
    </row>
    <row r="75" customFormat="false" ht="15" hidden="false" customHeight="false" outlineLevel="0" collapsed="false">
      <c r="B75" s="44" t="n">
        <v>70</v>
      </c>
      <c r="C75" s="126" t="s">
        <v>1589</v>
      </c>
      <c r="D75" s="147" t="s">
        <v>1194</v>
      </c>
      <c r="E75" s="181" t="s">
        <v>1511</v>
      </c>
      <c r="F75" s="141" t="n">
        <v>0.7</v>
      </c>
      <c r="G75" s="165" t="s">
        <v>1590</v>
      </c>
    </row>
    <row r="76" customFormat="false" ht="15" hidden="false" customHeight="false" outlineLevel="0" collapsed="false">
      <c r="B76" s="42" t="n">
        <v>85</v>
      </c>
      <c r="C76" s="124" t="s">
        <v>1591</v>
      </c>
      <c r="D76" s="168" t="s">
        <v>1082</v>
      </c>
      <c r="E76" s="180" t="s">
        <v>335</v>
      </c>
      <c r="F76" s="49" t="s">
        <v>335</v>
      </c>
      <c r="G76" s="163" t="s">
        <v>1592</v>
      </c>
    </row>
    <row r="77" customFormat="false" ht="15" hidden="false" customHeight="false" outlineLevel="0" collapsed="false">
      <c r="B77" s="44" t="n">
        <v>100</v>
      </c>
      <c r="C77" s="126" t="s">
        <v>1593</v>
      </c>
      <c r="D77" s="151" t="s">
        <v>780</v>
      </c>
      <c r="E77" s="181" t="s">
        <v>1288</v>
      </c>
      <c r="F77" s="189" t="s">
        <v>1594</v>
      </c>
      <c r="G77" s="165" t="s">
        <v>1595</v>
      </c>
    </row>
    <row r="79" customFormat="false" ht="21.75" hidden="false" customHeight="true" outlineLevel="0" collapsed="false">
      <c r="B79" s="174" t="s">
        <v>1596</v>
      </c>
      <c r="C79" s="174"/>
      <c r="D79" s="174"/>
      <c r="E79" s="174"/>
      <c r="F79" s="174"/>
      <c r="G79" s="174"/>
    </row>
    <row r="80" customFormat="false" ht="15" hidden="false" customHeight="true" outlineLevel="0" collapsed="false">
      <c r="B80" s="175" t="s">
        <v>1160</v>
      </c>
      <c r="C80" s="176" t="s">
        <v>1597</v>
      </c>
      <c r="D80" s="176"/>
      <c r="E80" s="176"/>
      <c r="F80" s="176"/>
      <c r="G80" s="176"/>
    </row>
    <row r="81" customFormat="false" ht="15" hidden="false" customHeight="true" outlineLevel="0" collapsed="false">
      <c r="B81" s="177" t="s">
        <v>1162</v>
      </c>
      <c r="C81" s="178" t="s">
        <v>1598</v>
      </c>
      <c r="D81" s="178"/>
      <c r="E81" s="178"/>
      <c r="F81" s="178"/>
      <c r="G81" s="178"/>
    </row>
    <row r="82" customFormat="false" ht="24" hidden="false" customHeight="true" outlineLevel="0" collapsed="false">
      <c r="B82" s="8" t="s">
        <v>151</v>
      </c>
      <c r="C82" s="123" t="s">
        <v>835</v>
      </c>
      <c r="D82" s="123" t="s">
        <v>18</v>
      </c>
      <c r="E82" s="123" t="s">
        <v>1164</v>
      </c>
      <c r="F82" s="123" t="s">
        <v>944</v>
      </c>
      <c r="G82" s="123" t="s">
        <v>1165</v>
      </c>
    </row>
    <row r="83" customFormat="false" ht="15" hidden="false" customHeight="false" outlineLevel="0" collapsed="false">
      <c r="B83" s="44" t="n">
        <v>1</v>
      </c>
      <c r="C83" s="126" t="s">
        <v>1599</v>
      </c>
      <c r="D83" s="186" t="s">
        <v>929</v>
      </c>
      <c r="E83" s="184" t="s">
        <v>335</v>
      </c>
      <c r="F83" s="141" t="n">
        <v>1.3</v>
      </c>
      <c r="G83" s="165" t="s">
        <v>1600</v>
      </c>
    </row>
    <row r="84" customFormat="false" ht="15" hidden="false" customHeight="false" outlineLevel="0" collapsed="false">
      <c r="B84" s="42" t="n">
        <v>6</v>
      </c>
      <c r="C84" s="124" t="s">
        <v>1601</v>
      </c>
      <c r="D84" s="138" t="s">
        <v>1185</v>
      </c>
      <c r="E84" s="182" t="s">
        <v>1394</v>
      </c>
      <c r="F84" s="139" t="n">
        <v>1.8</v>
      </c>
      <c r="G84" s="163" t="s">
        <v>1602</v>
      </c>
    </row>
    <row r="85" customFormat="false" ht="15" hidden="false" customHeight="false" outlineLevel="0" collapsed="false">
      <c r="B85" s="44" t="n">
        <v>12</v>
      </c>
      <c r="C85" s="126" t="s">
        <v>1603</v>
      </c>
      <c r="D85" s="145" t="s">
        <v>1096</v>
      </c>
      <c r="E85" s="181" t="s">
        <v>1400</v>
      </c>
      <c r="F85" s="141" t="n">
        <v>1.2</v>
      </c>
      <c r="G85" s="165" t="s">
        <v>1604</v>
      </c>
    </row>
    <row r="86" customFormat="false" ht="15" hidden="false" customHeight="false" outlineLevel="0" collapsed="false">
      <c r="B86" s="42" t="n">
        <v>20</v>
      </c>
      <c r="C86" s="124" t="s">
        <v>1605</v>
      </c>
      <c r="D86" s="144" t="s">
        <v>1096</v>
      </c>
      <c r="E86" s="182" t="s">
        <v>1400</v>
      </c>
      <c r="F86" s="139" t="n">
        <v>0.5</v>
      </c>
      <c r="G86" s="163" t="s">
        <v>1606</v>
      </c>
    </row>
    <row r="87" customFormat="false" ht="15" hidden="false" customHeight="false" outlineLevel="0" collapsed="false">
      <c r="B87" s="62" t="n">
        <v>30</v>
      </c>
      <c r="C87" s="183" t="s">
        <v>1607</v>
      </c>
      <c r="D87" s="147" t="s">
        <v>1194</v>
      </c>
      <c r="E87" s="181" t="s">
        <v>1497</v>
      </c>
      <c r="F87" s="141" t="n">
        <v>3</v>
      </c>
      <c r="G87" s="165" t="s">
        <v>1608</v>
      </c>
    </row>
    <row r="88" customFormat="false" ht="15" hidden="false" customHeight="false" outlineLevel="0" collapsed="false">
      <c r="B88" s="142" t="n">
        <v>40</v>
      </c>
      <c r="C88" s="129" t="s">
        <v>1609</v>
      </c>
      <c r="D88" s="168" t="s">
        <v>1082</v>
      </c>
      <c r="E88" s="180" t="s">
        <v>335</v>
      </c>
      <c r="F88" s="49" t="s">
        <v>335</v>
      </c>
      <c r="G88" s="163" t="s">
        <v>1610</v>
      </c>
    </row>
    <row r="89" customFormat="false" ht="15" hidden="false" customHeight="false" outlineLevel="0" collapsed="false">
      <c r="B89" s="44" t="n">
        <v>55</v>
      </c>
      <c r="C89" s="126" t="s">
        <v>1611</v>
      </c>
      <c r="D89" s="147" t="s">
        <v>1194</v>
      </c>
      <c r="E89" s="181" t="s">
        <v>1488</v>
      </c>
      <c r="F89" s="141" t="n">
        <v>1</v>
      </c>
      <c r="G89" s="165" t="s">
        <v>1612</v>
      </c>
    </row>
    <row r="90" customFormat="false" ht="15" hidden="false" customHeight="false" outlineLevel="0" collapsed="false">
      <c r="B90" s="42" t="n">
        <v>70</v>
      </c>
      <c r="C90" s="124" t="s">
        <v>1613</v>
      </c>
      <c r="D90" s="148" t="s">
        <v>1194</v>
      </c>
      <c r="E90" s="182" t="s">
        <v>1497</v>
      </c>
      <c r="F90" s="139" t="n">
        <v>3.5</v>
      </c>
      <c r="G90" s="163" t="s">
        <v>1614</v>
      </c>
    </row>
    <row r="91" customFormat="false" ht="15" hidden="false" customHeight="false" outlineLevel="0" collapsed="false">
      <c r="B91" s="44" t="n">
        <v>85</v>
      </c>
      <c r="C91" s="126" t="s">
        <v>1615</v>
      </c>
      <c r="D91" s="167" t="s">
        <v>1082</v>
      </c>
      <c r="E91" s="184" t="s">
        <v>335</v>
      </c>
      <c r="F91" s="50" t="s">
        <v>335</v>
      </c>
      <c r="G91" s="165" t="s">
        <v>1616</v>
      </c>
    </row>
    <row r="92" customFormat="false" ht="15" hidden="false" customHeight="false" outlineLevel="0" collapsed="false">
      <c r="B92" s="42" t="n">
        <v>100</v>
      </c>
      <c r="C92" s="124" t="s">
        <v>1617</v>
      </c>
      <c r="D92" s="152" t="s">
        <v>780</v>
      </c>
      <c r="E92" s="182" t="s">
        <v>1618</v>
      </c>
      <c r="F92" s="139" t="n">
        <v>6</v>
      </c>
      <c r="G92" s="163" t="s">
        <v>1619</v>
      </c>
    </row>
    <row r="94" customFormat="false" ht="21.75" hidden="false" customHeight="true" outlineLevel="0" collapsed="false">
      <c r="B94" s="174" t="s">
        <v>1620</v>
      </c>
      <c r="C94" s="174"/>
      <c r="D94" s="174"/>
      <c r="E94" s="174"/>
      <c r="F94" s="174"/>
      <c r="G94" s="174"/>
    </row>
    <row r="95" customFormat="false" ht="15" hidden="false" customHeight="true" outlineLevel="0" collapsed="false">
      <c r="B95" s="175" t="s">
        <v>1160</v>
      </c>
      <c r="C95" s="176" t="s">
        <v>1621</v>
      </c>
      <c r="D95" s="176"/>
      <c r="E95" s="176"/>
      <c r="F95" s="176"/>
      <c r="G95" s="176"/>
    </row>
    <row r="96" customFormat="false" ht="15" hidden="false" customHeight="true" outlineLevel="0" collapsed="false">
      <c r="B96" s="177" t="s">
        <v>1162</v>
      </c>
      <c r="C96" s="178" t="s">
        <v>1622</v>
      </c>
      <c r="D96" s="178"/>
      <c r="E96" s="178"/>
      <c r="F96" s="178"/>
      <c r="G96" s="178"/>
    </row>
    <row r="97" customFormat="false" ht="24" hidden="false" customHeight="true" outlineLevel="0" collapsed="false">
      <c r="B97" s="8" t="s">
        <v>151</v>
      </c>
      <c r="C97" s="123" t="s">
        <v>835</v>
      </c>
      <c r="D97" s="123" t="s">
        <v>18</v>
      </c>
      <c r="E97" s="123" t="s">
        <v>1164</v>
      </c>
      <c r="F97" s="123" t="s">
        <v>944</v>
      </c>
      <c r="G97" s="123" t="s">
        <v>1165</v>
      </c>
    </row>
    <row r="98" customFormat="false" ht="15" hidden="false" customHeight="false" outlineLevel="0" collapsed="false">
      <c r="B98" s="42" t="n">
        <v>1</v>
      </c>
      <c r="C98" s="124" t="s">
        <v>1623</v>
      </c>
      <c r="D98" s="179" t="s">
        <v>929</v>
      </c>
      <c r="E98" s="180" t="s">
        <v>335</v>
      </c>
      <c r="F98" s="139" t="n">
        <v>0.9</v>
      </c>
      <c r="G98" s="163" t="s">
        <v>1624</v>
      </c>
    </row>
    <row r="99" customFormat="false" ht="15" hidden="false" customHeight="false" outlineLevel="0" collapsed="false">
      <c r="B99" s="44" t="n">
        <v>6</v>
      </c>
      <c r="C99" s="126" t="s">
        <v>643</v>
      </c>
      <c r="D99" s="149" t="s">
        <v>771</v>
      </c>
      <c r="E99" s="181" t="s">
        <v>1397</v>
      </c>
      <c r="F99" s="50" t="s">
        <v>335</v>
      </c>
      <c r="G99" s="165" t="s">
        <v>1625</v>
      </c>
    </row>
    <row r="100" customFormat="false" ht="15" hidden="false" customHeight="false" outlineLevel="0" collapsed="false">
      <c r="B100" s="42" t="n">
        <v>12</v>
      </c>
      <c r="C100" s="124" t="s">
        <v>1626</v>
      </c>
      <c r="D100" s="150" t="s">
        <v>771</v>
      </c>
      <c r="E100" s="182" t="s">
        <v>1394</v>
      </c>
      <c r="F100" s="49" t="s">
        <v>335</v>
      </c>
      <c r="G100" s="163" t="s">
        <v>1627</v>
      </c>
    </row>
    <row r="101" customFormat="false" ht="15" hidden="false" customHeight="false" outlineLevel="0" collapsed="false">
      <c r="B101" s="44" t="n">
        <v>20</v>
      </c>
      <c r="C101" s="126" t="s">
        <v>1628</v>
      </c>
      <c r="D101" s="149" t="s">
        <v>771</v>
      </c>
      <c r="E101" s="181" t="s">
        <v>1397</v>
      </c>
      <c r="F101" s="50" t="s">
        <v>335</v>
      </c>
      <c r="G101" s="165" t="s">
        <v>1629</v>
      </c>
    </row>
    <row r="102" customFormat="false" ht="15" hidden="false" customHeight="false" outlineLevel="0" collapsed="false">
      <c r="B102" s="42" t="n">
        <v>28</v>
      </c>
      <c r="C102" s="124" t="s">
        <v>1630</v>
      </c>
      <c r="D102" s="150" t="s">
        <v>771</v>
      </c>
      <c r="E102" s="182" t="s">
        <v>1394</v>
      </c>
      <c r="F102" s="49" t="s">
        <v>335</v>
      </c>
      <c r="G102" s="163" t="s">
        <v>1631</v>
      </c>
    </row>
    <row r="103" customFormat="false" ht="15" hidden="false" customHeight="false" outlineLevel="0" collapsed="false">
      <c r="B103" s="62" t="n">
        <v>35</v>
      </c>
      <c r="C103" s="183" t="s">
        <v>1632</v>
      </c>
      <c r="D103" s="149" t="s">
        <v>771</v>
      </c>
      <c r="E103" s="181" t="s">
        <v>1511</v>
      </c>
      <c r="F103" s="50" t="s">
        <v>335</v>
      </c>
      <c r="G103" s="165" t="s">
        <v>1633</v>
      </c>
    </row>
    <row r="104" customFormat="false" ht="15" hidden="false" customHeight="false" outlineLevel="0" collapsed="false">
      <c r="B104" s="42" t="n">
        <v>45</v>
      </c>
      <c r="C104" s="124" t="s">
        <v>1634</v>
      </c>
      <c r="D104" s="168" t="s">
        <v>1082</v>
      </c>
      <c r="E104" s="180" t="s">
        <v>335</v>
      </c>
      <c r="F104" s="49" t="s">
        <v>335</v>
      </c>
      <c r="G104" s="163" t="s">
        <v>1635</v>
      </c>
    </row>
    <row r="105" customFormat="false" ht="15" hidden="false" customHeight="false" outlineLevel="0" collapsed="false">
      <c r="B105" s="44" t="n">
        <v>58</v>
      </c>
      <c r="C105" s="126" t="s">
        <v>1636</v>
      </c>
      <c r="D105" s="149" t="s">
        <v>771</v>
      </c>
      <c r="E105" s="181" t="s">
        <v>1637</v>
      </c>
      <c r="F105" s="50" t="s">
        <v>335</v>
      </c>
      <c r="G105" s="165" t="s">
        <v>1638</v>
      </c>
    </row>
    <row r="106" customFormat="false" ht="15" hidden="false" customHeight="false" outlineLevel="0" collapsed="false">
      <c r="B106" s="42" t="n">
        <v>72</v>
      </c>
      <c r="C106" s="124" t="s">
        <v>1639</v>
      </c>
      <c r="D106" s="150" t="s">
        <v>771</v>
      </c>
      <c r="E106" s="182" t="s">
        <v>1493</v>
      </c>
      <c r="F106" s="49" t="s">
        <v>335</v>
      </c>
      <c r="G106" s="163" t="s">
        <v>1640</v>
      </c>
    </row>
    <row r="107" customFormat="false" ht="15" hidden="false" customHeight="false" outlineLevel="0" collapsed="false">
      <c r="B107" s="44" t="n">
        <v>85</v>
      </c>
      <c r="C107" s="126" t="s">
        <v>1641</v>
      </c>
      <c r="D107" s="167" t="s">
        <v>1082</v>
      </c>
      <c r="E107" s="184" t="s">
        <v>335</v>
      </c>
      <c r="F107" s="50" t="s">
        <v>335</v>
      </c>
      <c r="G107" s="165" t="s">
        <v>1642</v>
      </c>
    </row>
    <row r="108" customFormat="false" ht="15" hidden="false" customHeight="false" outlineLevel="0" collapsed="false">
      <c r="B108" s="42" t="n">
        <v>100</v>
      </c>
      <c r="C108" s="124" t="s">
        <v>1643</v>
      </c>
      <c r="D108" s="152" t="s">
        <v>780</v>
      </c>
      <c r="E108" s="182" t="s">
        <v>1228</v>
      </c>
      <c r="F108" s="49" t="s">
        <v>335</v>
      </c>
      <c r="G108" s="163" t="s">
        <v>1644</v>
      </c>
    </row>
    <row r="110" customFormat="false" ht="21.75" hidden="false" customHeight="true" outlineLevel="0" collapsed="false">
      <c r="B110" s="174" t="s">
        <v>1645</v>
      </c>
      <c r="C110" s="174"/>
      <c r="D110" s="174"/>
      <c r="E110" s="174"/>
      <c r="F110" s="174"/>
      <c r="G110" s="174"/>
    </row>
    <row r="111" customFormat="false" ht="15" hidden="false" customHeight="true" outlineLevel="0" collapsed="false">
      <c r="B111" s="175" t="s">
        <v>1160</v>
      </c>
      <c r="C111" s="176" t="s">
        <v>1646</v>
      </c>
      <c r="D111" s="176"/>
      <c r="E111" s="176"/>
      <c r="F111" s="176"/>
      <c r="G111" s="176"/>
    </row>
    <row r="112" customFormat="false" ht="15" hidden="false" customHeight="true" outlineLevel="0" collapsed="false">
      <c r="B112" s="177" t="s">
        <v>1162</v>
      </c>
      <c r="C112" s="178" t="s">
        <v>1647</v>
      </c>
      <c r="D112" s="178"/>
      <c r="E112" s="178"/>
      <c r="F112" s="178"/>
      <c r="G112" s="178"/>
    </row>
    <row r="113" customFormat="false" ht="24" hidden="false" customHeight="true" outlineLevel="0" collapsed="false">
      <c r="B113" s="8" t="s">
        <v>151</v>
      </c>
      <c r="C113" s="123" t="s">
        <v>835</v>
      </c>
      <c r="D113" s="123" t="s">
        <v>18</v>
      </c>
      <c r="E113" s="123" t="s">
        <v>1164</v>
      </c>
      <c r="F113" s="123" t="s">
        <v>944</v>
      </c>
      <c r="G113" s="123" t="s">
        <v>1165</v>
      </c>
    </row>
    <row r="114" customFormat="false" ht="15" hidden="false" customHeight="false" outlineLevel="0" collapsed="false">
      <c r="B114" s="42" t="n">
        <v>1</v>
      </c>
      <c r="C114" s="124" t="s">
        <v>1623</v>
      </c>
      <c r="D114" s="179" t="s">
        <v>929</v>
      </c>
      <c r="E114" s="180" t="s">
        <v>335</v>
      </c>
      <c r="F114" s="139" t="n">
        <v>0.9</v>
      </c>
      <c r="G114" s="163" t="s">
        <v>1624</v>
      </c>
    </row>
    <row r="115" customFormat="false" ht="15" hidden="false" customHeight="false" outlineLevel="0" collapsed="false">
      <c r="B115" s="44" t="n">
        <v>6</v>
      </c>
      <c r="C115" s="126" t="s">
        <v>1648</v>
      </c>
      <c r="D115" s="151" t="s">
        <v>1405</v>
      </c>
      <c r="E115" s="181" t="s">
        <v>1394</v>
      </c>
      <c r="F115" s="50" t="s">
        <v>335</v>
      </c>
      <c r="G115" s="165" t="s">
        <v>1649</v>
      </c>
    </row>
    <row r="116" customFormat="false" ht="15" hidden="false" customHeight="false" outlineLevel="0" collapsed="false">
      <c r="B116" s="42" t="n">
        <v>12</v>
      </c>
      <c r="C116" s="124" t="s">
        <v>1650</v>
      </c>
      <c r="D116" s="152" t="s">
        <v>1405</v>
      </c>
      <c r="E116" s="182" t="s">
        <v>1394</v>
      </c>
      <c r="F116" s="49" t="s">
        <v>335</v>
      </c>
      <c r="G116" s="163" t="s">
        <v>1651</v>
      </c>
    </row>
    <row r="117" customFormat="false" ht="15" hidden="false" customHeight="false" outlineLevel="0" collapsed="false">
      <c r="B117" s="44" t="n">
        <v>20</v>
      </c>
      <c r="C117" s="126" t="s">
        <v>1652</v>
      </c>
      <c r="D117" s="145" t="s">
        <v>1096</v>
      </c>
      <c r="E117" s="181" t="s">
        <v>1397</v>
      </c>
      <c r="F117" s="50" t="s">
        <v>335</v>
      </c>
      <c r="G117" s="165" t="s">
        <v>1653</v>
      </c>
    </row>
    <row r="118" customFormat="false" ht="15" hidden="false" customHeight="false" outlineLevel="0" collapsed="false">
      <c r="B118" s="42" t="n">
        <v>28</v>
      </c>
      <c r="C118" s="124" t="s">
        <v>615</v>
      </c>
      <c r="D118" s="152" t="s">
        <v>1405</v>
      </c>
      <c r="E118" s="182" t="s">
        <v>1400</v>
      </c>
      <c r="F118" s="188" t="s">
        <v>1543</v>
      </c>
      <c r="G118" s="163" t="s">
        <v>1654</v>
      </c>
    </row>
    <row r="119" customFormat="false" ht="15" hidden="false" customHeight="false" outlineLevel="0" collapsed="false">
      <c r="B119" s="62" t="n">
        <v>35</v>
      </c>
      <c r="C119" s="183" t="s">
        <v>1655</v>
      </c>
      <c r="D119" s="151" t="s">
        <v>1405</v>
      </c>
      <c r="E119" s="181" t="s">
        <v>1511</v>
      </c>
      <c r="F119" s="50" t="s">
        <v>335</v>
      </c>
      <c r="G119" s="165" t="s">
        <v>1656</v>
      </c>
    </row>
    <row r="120" customFormat="false" ht="15" hidden="false" customHeight="false" outlineLevel="0" collapsed="false">
      <c r="B120" s="42" t="n">
        <v>45</v>
      </c>
      <c r="C120" s="124" t="s">
        <v>1657</v>
      </c>
      <c r="D120" s="168" t="s">
        <v>1082</v>
      </c>
      <c r="E120" s="180" t="s">
        <v>335</v>
      </c>
      <c r="F120" s="49" t="s">
        <v>335</v>
      </c>
      <c r="G120" s="163" t="s">
        <v>1658</v>
      </c>
    </row>
    <row r="121" customFormat="false" ht="15" hidden="false" customHeight="false" outlineLevel="0" collapsed="false">
      <c r="B121" s="44" t="n">
        <v>58</v>
      </c>
      <c r="C121" s="126" t="s">
        <v>1659</v>
      </c>
      <c r="D121" s="151" t="s">
        <v>1405</v>
      </c>
      <c r="E121" s="181" t="s">
        <v>1488</v>
      </c>
      <c r="F121" s="50" t="s">
        <v>335</v>
      </c>
      <c r="G121" s="165" t="s">
        <v>1660</v>
      </c>
    </row>
    <row r="122" customFormat="false" ht="15" hidden="false" customHeight="false" outlineLevel="0" collapsed="false">
      <c r="B122" s="42" t="n">
        <v>72</v>
      </c>
      <c r="C122" s="124" t="s">
        <v>1661</v>
      </c>
      <c r="D122" s="152" t="s">
        <v>1405</v>
      </c>
      <c r="E122" s="182" t="s">
        <v>1511</v>
      </c>
      <c r="F122" s="49" t="s">
        <v>335</v>
      </c>
      <c r="G122" s="163" t="s">
        <v>1662</v>
      </c>
    </row>
    <row r="123" customFormat="false" ht="15" hidden="false" customHeight="false" outlineLevel="0" collapsed="false">
      <c r="B123" s="44" t="n">
        <v>85</v>
      </c>
      <c r="C123" s="126" t="s">
        <v>1663</v>
      </c>
      <c r="D123" s="167" t="s">
        <v>1082</v>
      </c>
      <c r="E123" s="184" t="s">
        <v>335</v>
      </c>
      <c r="F123" s="50" t="s">
        <v>335</v>
      </c>
      <c r="G123" s="165" t="s">
        <v>1664</v>
      </c>
    </row>
    <row r="124" customFormat="false" ht="15" hidden="false" customHeight="false" outlineLevel="0" collapsed="false">
      <c r="B124" s="42" t="n">
        <v>100</v>
      </c>
      <c r="C124" s="124" t="s">
        <v>1665</v>
      </c>
      <c r="D124" s="152" t="s">
        <v>780</v>
      </c>
      <c r="E124" s="182" t="s">
        <v>1618</v>
      </c>
      <c r="F124" s="188" t="s">
        <v>1666</v>
      </c>
      <c r="G124" s="163" t="s">
        <v>1667</v>
      </c>
    </row>
    <row r="126" customFormat="false" ht="26.85" hidden="false" customHeight="true" outlineLevel="0" collapsed="false">
      <c r="B126" s="137" t="s">
        <v>1668</v>
      </c>
      <c r="C126" s="137"/>
      <c r="D126" s="137"/>
      <c r="E126" s="137"/>
      <c r="F126" s="137"/>
      <c r="G126" s="137"/>
    </row>
    <row r="127" customFormat="false" ht="26.85" hidden="false" customHeight="true" outlineLevel="0" collapsed="false">
      <c r="B127" s="26" t="s">
        <v>1669</v>
      </c>
      <c r="C127" s="26"/>
      <c r="D127" s="26"/>
      <c r="E127" s="26"/>
      <c r="F127" s="26"/>
      <c r="G127" s="26"/>
    </row>
  </sheetData>
  <mergeCells count="28">
    <mergeCell ref="A1:G1"/>
    <mergeCell ref="A2:G2"/>
    <mergeCell ref="B4:G4"/>
    <mergeCell ref="C5:G5"/>
    <mergeCell ref="C6:G6"/>
    <mergeCell ref="B19:G19"/>
    <mergeCell ref="C20:G20"/>
    <mergeCell ref="C21:G21"/>
    <mergeCell ref="B34:G34"/>
    <mergeCell ref="C35:G35"/>
    <mergeCell ref="C36:G36"/>
    <mergeCell ref="B49:G49"/>
    <mergeCell ref="C50:G50"/>
    <mergeCell ref="C51:G51"/>
    <mergeCell ref="B64:G64"/>
    <mergeCell ref="C65:G65"/>
    <mergeCell ref="C66:G66"/>
    <mergeCell ref="B79:G79"/>
    <mergeCell ref="C80:G80"/>
    <mergeCell ref="C81:G81"/>
    <mergeCell ref="B94:G94"/>
    <mergeCell ref="C95:G95"/>
    <mergeCell ref="C96:G96"/>
    <mergeCell ref="B110:G110"/>
    <mergeCell ref="C111:G111"/>
    <mergeCell ref="C112:G112"/>
    <mergeCell ref="B126:G126"/>
    <mergeCell ref="B127:G1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2026-06-16T05:54:04Z</dcterms:created>
  <dc:creator>openpyxl</dc:creator>
  <dc:description/>
  <dc:language>en-US</dc:language>
  <cp:lastModifiedBy/>
  <dcterms:modified xsi:type="dcterms:W3CDTF">2026-06-17T13:02:17Z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